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dklololmg123\Desktop\"/>
    </mc:Choice>
  </mc:AlternateContent>
  <bookViews>
    <workbookView xWindow="0" yWindow="0" windowWidth="28800" windowHeight="12438"/>
  </bookViews>
  <sheets>
    <sheet name="Game" sheetId="1" r:id="rId1"/>
    <sheet name="Flowchart" sheetId="4" r:id="rId2"/>
    <sheet name="Algorithm Data" sheetId="3" state="hidden" r:id="rId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3" l="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" i="3"/>
  <c r="AA2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" i="3"/>
  <c r="AD1" i="3" s="1"/>
  <c r="AE1" i="3" s="1"/>
  <c r="Z105" i="3"/>
  <c r="Z104" i="3"/>
  <c r="Z103" i="3"/>
  <c r="Z102" i="3"/>
  <c r="Z101" i="3"/>
  <c r="Z100" i="3"/>
  <c r="Z99" i="3"/>
  <c r="Z98" i="3"/>
  <c r="Z97" i="3"/>
  <c r="Z96" i="3"/>
  <c r="Z95" i="3"/>
  <c r="Z94" i="3"/>
  <c r="Z93" i="3"/>
  <c r="Z92" i="3"/>
  <c r="Z91" i="3"/>
  <c r="Z90" i="3"/>
  <c r="Z89" i="3"/>
  <c r="Z88" i="3"/>
  <c r="Z87" i="3"/>
  <c r="Z86" i="3"/>
  <c r="Z85" i="3"/>
  <c r="Z84" i="3"/>
  <c r="Z83" i="3"/>
  <c r="Z82" i="3"/>
  <c r="Z81" i="3"/>
  <c r="Z80" i="3"/>
  <c r="Z79" i="3"/>
  <c r="Z78" i="3"/>
  <c r="Z77" i="3"/>
  <c r="Z76" i="3"/>
  <c r="Z75" i="3"/>
  <c r="Z74" i="3"/>
  <c r="Z73" i="3"/>
  <c r="Z72" i="3"/>
  <c r="Z71" i="3"/>
  <c r="Z70" i="3"/>
  <c r="Z69" i="3"/>
  <c r="Z68" i="3"/>
  <c r="Z67" i="3"/>
  <c r="Z66" i="3"/>
  <c r="Z65" i="3"/>
  <c r="Z64" i="3"/>
  <c r="Z63" i="3"/>
  <c r="Z62" i="3"/>
  <c r="Z61" i="3"/>
  <c r="Z60" i="3"/>
  <c r="Z59" i="3"/>
  <c r="Z58" i="3"/>
  <c r="Z57" i="3"/>
  <c r="Z56" i="3"/>
  <c r="Z55" i="3"/>
  <c r="Z54" i="3"/>
  <c r="Z53" i="3"/>
  <c r="Z52" i="3"/>
  <c r="Z51" i="3"/>
  <c r="Z50" i="3"/>
  <c r="Z49" i="3"/>
  <c r="Z48" i="3"/>
  <c r="Z47" i="3"/>
  <c r="Z46" i="3"/>
  <c r="Z45" i="3"/>
  <c r="Z44" i="3"/>
  <c r="Z43" i="3"/>
  <c r="Z42" i="3"/>
  <c r="Z41" i="3"/>
  <c r="Z40" i="3"/>
  <c r="Z39" i="3"/>
  <c r="Z38" i="3"/>
  <c r="Z37" i="3"/>
  <c r="Z36" i="3"/>
  <c r="Z35" i="3"/>
  <c r="Z34" i="3"/>
  <c r="Z33" i="3"/>
  <c r="Z32" i="3"/>
  <c r="Z31" i="3"/>
  <c r="Z30" i="3"/>
  <c r="Z29" i="3"/>
  <c r="Z28" i="3"/>
  <c r="Z27" i="3"/>
  <c r="Z26" i="3"/>
  <c r="Z25" i="3"/>
  <c r="Z24" i="3"/>
  <c r="Z23" i="3"/>
  <c r="Z22" i="3"/>
  <c r="Z21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Z6" i="3"/>
  <c r="Z5" i="3"/>
  <c r="Z4" i="3"/>
  <c r="AB3" i="3"/>
  <c r="AB4" i="3" s="1"/>
  <c r="AB5" i="3" s="1"/>
  <c r="AB6" i="3" s="1"/>
  <c r="AB7" i="3" s="1"/>
  <c r="AB8" i="3" s="1"/>
  <c r="AB9" i="3" s="1"/>
  <c r="AB10" i="3" s="1"/>
  <c r="AB11" i="3" s="1"/>
  <c r="AB12" i="3" s="1"/>
  <c r="AB13" i="3" s="1"/>
  <c r="AB14" i="3" s="1"/>
  <c r="AB15" i="3" s="1"/>
  <c r="AB16" i="3" s="1"/>
  <c r="AB17" i="3" s="1"/>
  <c r="AB18" i="3" s="1"/>
  <c r="AB19" i="3" s="1"/>
  <c r="AB20" i="3" s="1"/>
  <c r="AB21" i="3" s="1"/>
  <c r="AB22" i="3" s="1"/>
  <c r="AB23" i="3" s="1"/>
  <c r="AB24" i="3" s="1"/>
  <c r="AB25" i="3" s="1"/>
  <c r="AB26" i="3" s="1"/>
  <c r="AB27" i="3" s="1"/>
  <c r="AB28" i="3" s="1"/>
  <c r="AB29" i="3" s="1"/>
  <c r="AB30" i="3" s="1"/>
  <c r="AB31" i="3" s="1"/>
  <c r="AB32" i="3" s="1"/>
  <c r="AB33" i="3" s="1"/>
  <c r="AB34" i="3" s="1"/>
  <c r="AB35" i="3" s="1"/>
  <c r="AB36" i="3" s="1"/>
  <c r="AB37" i="3" s="1"/>
  <c r="AB38" i="3" s="1"/>
  <c r="AB39" i="3" s="1"/>
  <c r="AB40" i="3" s="1"/>
  <c r="AB41" i="3" s="1"/>
  <c r="AB42" i="3" s="1"/>
  <c r="AB43" i="3" s="1"/>
  <c r="AB44" i="3" s="1"/>
  <c r="AB45" i="3" s="1"/>
  <c r="AB46" i="3" s="1"/>
  <c r="AB47" i="3" s="1"/>
  <c r="AB48" i="3" s="1"/>
  <c r="AB49" i="3" s="1"/>
  <c r="AB50" i="3" s="1"/>
  <c r="AB51" i="3" s="1"/>
  <c r="AB52" i="3" s="1"/>
  <c r="AB53" i="3" s="1"/>
  <c r="AB54" i="3" s="1"/>
  <c r="AB55" i="3" s="1"/>
  <c r="AB56" i="3" s="1"/>
  <c r="AB57" i="3" s="1"/>
  <c r="AB58" i="3" s="1"/>
  <c r="AB59" i="3" s="1"/>
  <c r="AB60" i="3" s="1"/>
  <c r="AB61" i="3" s="1"/>
  <c r="AB62" i="3" s="1"/>
  <c r="AB63" i="3" s="1"/>
  <c r="AB64" i="3" s="1"/>
  <c r="AB65" i="3" s="1"/>
  <c r="AB66" i="3" s="1"/>
  <c r="AB67" i="3" s="1"/>
  <c r="AB68" i="3" s="1"/>
  <c r="AB69" i="3" s="1"/>
  <c r="AB70" i="3" s="1"/>
  <c r="AB71" i="3" s="1"/>
  <c r="AB72" i="3" s="1"/>
  <c r="AB73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AB105" i="3" s="1"/>
  <c r="Z3" i="3"/>
  <c r="AB2" i="3"/>
  <c r="Z2" i="3"/>
  <c r="Y2" i="3"/>
  <c r="Y1" i="3"/>
  <c r="AC1" i="3" s="1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2" i="3"/>
  <c r="S91" i="3"/>
  <c r="S90" i="3"/>
  <c r="S89" i="3"/>
  <c r="S88" i="3"/>
  <c r="S87" i="3"/>
  <c r="S86" i="3"/>
  <c r="S85" i="3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8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2" i="3"/>
  <c r="S41" i="3"/>
  <c r="S40" i="3"/>
  <c r="S39" i="3"/>
  <c r="S38" i="3"/>
  <c r="S37" i="3"/>
  <c r="S36" i="3"/>
  <c r="S35" i="3"/>
  <c r="S34" i="3"/>
  <c r="S33" i="3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U3" i="3"/>
  <c r="U4" i="3" s="1"/>
  <c r="U5" i="3" s="1"/>
  <c r="U6" i="3" s="1"/>
  <c r="U7" i="3" s="1"/>
  <c r="U8" i="3" s="1"/>
  <c r="U9" i="3" s="1"/>
  <c r="U10" i="3" s="1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U105" i="3" s="1"/>
  <c r="S3" i="3"/>
  <c r="U2" i="3"/>
  <c r="S2" i="3"/>
  <c r="R2" i="3"/>
  <c r="R3" i="3" s="1"/>
  <c r="R1" i="3"/>
  <c r="W1" i="3" s="1"/>
  <c r="X1" i="3" s="1"/>
  <c r="P1" i="3"/>
  <c r="Q1" i="3" s="1"/>
  <c r="Y3" i="3" l="1"/>
  <c r="AD2" i="3"/>
  <c r="AE2" i="3" s="1"/>
  <c r="AC2" i="3"/>
  <c r="R4" i="3"/>
  <c r="V3" i="3"/>
  <c r="W3" i="3"/>
  <c r="X3" i="3" s="1"/>
  <c r="V2" i="3"/>
  <c r="V1" i="3"/>
  <c r="W2" i="3"/>
  <c r="X2" i="3" s="1"/>
  <c r="E14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C2" i="3"/>
  <c r="C3" i="3" s="1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N2" i="3"/>
  <c r="K105" i="3"/>
  <c r="L105" i="3"/>
  <c r="K104" i="3"/>
  <c r="L104" i="3"/>
  <c r="K100" i="3"/>
  <c r="L100" i="3"/>
  <c r="K101" i="3"/>
  <c r="L101" i="3"/>
  <c r="L102" i="3"/>
  <c r="L103" i="3"/>
  <c r="K90" i="3"/>
  <c r="K91" i="3" s="1"/>
  <c r="L90" i="3"/>
  <c r="L91" i="3"/>
  <c r="L92" i="3"/>
  <c r="L93" i="3"/>
  <c r="L94" i="3"/>
  <c r="L95" i="3"/>
  <c r="L96" i="3"/>
  <c r="L97" i="3"/>
  <c r="L98" i="3"/>
  <c r="L99" i="3"/>
  <c r="Y4" i="3" l="1"/>
  <c r="AD3" i="3"/>
  <c r="AE3" i="3" s="1"/>
  <c r="AC3" i="3"/>
  <c r="R5" i="3"/>
  <c r="W4" i="3"/>
  <c r="X4" i="3" s="1"/>
  <c r="V4" i="3"/>
  <c r="K102" i="3"/>
  <c r="K92" i="3"/>
  <c r="A11" i="3"/>
  <c r="B11" i="3"/>
  <c r="B12" i="3"/>
  <c r="B13" i="3"/>
  <c r="B14" i="3"/>
  <c r="K2" i="3"/>
  <c r="K3" i="3" s="1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1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D2" i="3"/>
  <c r="D3" i="3" s="1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L3" i="3"/>
  <c r="L4" i="3"/>
  <c r="L5" i="3"/>
  <c r="L6" i="3"/>
  <c r="L7" i="3"/>
  <c r="L8" i="3"/>
  <c r="L9" i="3"/>
  <c r="L10" i="3"/>
  <c r="L2" i="3"/>
  <c r="A6" i="3"/>
  <c r="B6" i="3"/>
  <c r="B7" i="3"/>
  <c r="B8" i="3"/>
  <c r="B9" i="3"/>
  <c r="B10" i="3"/>
  <c r="B3" i="3"/>
  <c r="B4" i="3"/>
  <c r="B5" i="3"/>
  <c r="B2" i="3"/>
  <c r="A3" i="3"/>
  <c r="A2" i="3"/>
  <c r="P2" i="3" l="1"/>
  <c r="Q2" i="3" s="1"/>
  <c r="AC4" i="3"/>
  <c r="Y5" i="3"/>
  <c r="AD4" i="3"/>
  <c r="AE4" i="3" s="1"/>
  <c r="R6" i="3"/>
  <c r="V5" i="3"/>
  <c r="W5" i="3"/>
  <c r="X5" i="3" s="1"/>
  <c r="K103" i="3"/>
  <c r="K93" i="3"/>
  <c r="N3" i="3"/>
  <c r="A12" i="3"/>
  <c r="A7" i="3"/>
  <c r="A4" i="3"/>
  <c r="P3" i="3" l="1"/>
  <c r="Q3" i="3" s="1"/>
  <c r="AD5" i="3"/>
  <c r="AE5" i="3" s="1"/>
  <c r="AC5" i="3"/>
  <c r="Y6" i="3"/>
  <c r="R7" i="3"/>
  <c r="W6" i="3"/>
  <c r="X6" i="3" s="1"/>
  <c r="V6" i="3"/>
  <c r="K94" i="3"/>
  <c r="N4" i="3"/>
  <c r="A13" i="3"/>
  <c r="A8" i="3"/>
  <c r="A5" i="3"/>
  <c r="P4" i="3" l="1"/>
  <c r="Q4" i="3" s="1"/>
  <c r="Y7" i="3"/>
  <c r="AD6" i="3"/>
  <c r="AE6" i="3" s="1"/>
  <c r="AC6" i="3"/>
  <c r="V7" i="3"/>
  <c r="W7" i="3"/>
  <c r="X7" i="3" s="1"/>
  <c r="R8" i="3"/>
  <c r="K95" i="3"/>
  <c r="N5" i="3"/>
  <c r="A14" i="3"/>
  <c r="A9" i="3"/>
  <c r="P5" i="3" l="1"/>
  <c r="Q5" i="3" s="1"/>
  <c r="Y8" i="3"/>
  <c r="AD7" i="3"/>
  <c r="AE7" i="3" s="1"/>
  <c r="AC7" i="3"/>
  <c r="W8" i="3"/>
  <c r="X8" i="3" s="1"/>
  <c r="V8" i="3"/>
  <c r="R9" i="3"/>
  <c r="K96" i="3"/>
  <c r="N6" i="3"/>
  <c r="A10" i="3"/>
  <c r="P6" i="3" l="1"/>
  <c r="Q6" i="3" s="1"/>
  <c r="AC8" i="3"/>
  <c r="Y9" i="3"/>
  <c r="AD8" i="3"/>
  <c r="AE8" i="3" s="1"/>
  <c r="W9" i="3"/>
  <c r="X9" i="3" s="1"/>
  <c r="V9" i="3"/>
  <c r="R10" i="3"/>
  <c r="K97" i="3"/>
  <c r="N7" i="3"/>
  <c r="P7" i="3" l="1"/>
  <c r="Q7" i="3" s="1"/>
  <c r="AD9" i="3"/>
  <c r="AE9" i="3" s="1"/>
  <c r="AC9" i="3"/>
  <c r="Y10" i="3"/>
  <c r="R11" i="3"/>
  <c r="W10" i="3"/>
  <c r="X10" i="3" s="1"/>
  <c r="V10" i="3"/>
  <c r="K98" i="3"/>
  <c r="N8" i="3"/>
  <c r="P8" i="3" l="1"/>
  <c r="Q8" i="3" s="1"/>
  <c r="Y11" i="3"/>
  <c r="AD10" i="3"/>
  <c r="AE10" i="3" s="1"/>
  <c r="AC10" i="3"/>
  <c r="V11" i="3"/>
  <c r="R12" i="3"/>
  <c r="W11" i="3"/>
  <c r="X11" i="3" s="1"/>
  <c r="K99" i="3"/>
  <c r="N9" i="3"/>
  <c r="P9" i="3" l="1"/>
  <c r="Q9" i="3" s="1"/>
  <c r="Y12" i="3"/>
  <c r="AD11" i="3"/>
  <c r="AE11" i="3" s="1"/>
  <c r="AC11" i="3"/>
  <c r="R13" i="3"/>
  <c r="W12" i="3"/>
  <c r="X12" i="3" s="1"/>
  <c r="V12" i="3"/>
  <c r="N10" i="3"/>
  <c r="P10" i="3" l="1"/>
  <c r="Q10" i="3" s="1"/>
  <c r="AC12" i="3"/>
  <c r="Y13" i="3"/>
  <c r="AD12" i="3"/>
  <c r="AE12" i="3" s="1"/>
  <c r="R14" i="3"/>
  <c r="V13" i="3"/>
  <c r="W13" i="3"/>
  <c r="X13" i="3" s="1"/>
  <c r="N11" i="3"/>
  <c r="P11" i="3" l="1"/>
  <c r="Q11" i="3" s="1"/>
  <c r="AD13" i="3"/>
  <c r="AE13" i="3" s="1"/>
  <c r="AC13" i="3"/>
  <c r="Y14" i="3"/>
  <c r="R15" i="3"/>
  <c r="W14" i="3"/>
  <c r="X14" i="3" s="1"/>
  <c r="V14" i="3"/>
  <c r="N12" i="3"/>
  <c r="P12" i="3" l="1"/>
  <c r="Q12" i="3" s="1"/>
  <c r="Y15" i="3"/>
  <c r="AD14" i="3"/>
  <c r="AE14" i="3" s="1"/>
  <c r="AC14" i="3"/>
  <c r="V15" i="3"/>
  <c r="W15" i="3"/>
  <c r="X15" i="3" s="1"/>
  <c r="R16" i="3"/>
  <c r="N13" i="3"/>
  <c r="P13" i="3" l="1"/>
  <c r="Q13" i="3" s="1"/>
  <c r="Y16" i="3"/>
  <c r="AD15" i="3"/>
  <c r="AE15" i="3" s="1"/>
  <c r="AC15" i="3"/>
  <c r="W16" i="3"/>
  <c r="X16" i="3" s="1"/>
  <c r="V16" i="3"/>
  <c r="R17" i="3"/>
  <c r="N14" i="3"/>
  <c r="P14" i="3" l="1"/>
  <c r="Q14" i="3" s="1"/>
  <c r="AC16" i="3"/>
  <c r="Y17" i="3"/>
  <c r="AD16" i="3"/>
  <c r="AE16" i="3" s="1"/>
  <c r="W17" i="3"/>
  <c r="X17" i="3" s="1"/>
  <c r="V17" i="3"/>
  <c r="R18" i="3"/>
  <c r="N15" i="3"/>
  <c r="P15" i="3" l="1"/>
  <c r="Q15" i="3" s="1"/>
  <c r="AD17" i="3"/>
  <c r="AE17" i="3" s="1"/>
  <c r="AC17" i="3"/>
  <c r="Y18" i="3"/>
  <c r="R19" i="3"/>
  <c r="W18" i="3"/>
  <c r="X18" i="3" s="1"/>
  <c r="V18" i="3"/>
  <c r="N16" i="3"/>
  <c r="P16" i="3" l="1"/>
  <c r="Q16" i="3" s="1"/>
  <c r="Y19" i="3"/>
  <c r="AD18" i="3"/>
  <c r="AE18" i="3" s="1"/>
  <c r="AC18" i="3"/>
  <c r="V19" i="3"/>
  <c r="R20" i="3"/>
  <c r="W19" i="3"/>
  <c r="X19" i="3" s="1"/>
  <c r="N17" i="3"/>
  <c r="P17" i="3" l="1"/>
  <c r="Q17" i="3" s="1"/>
  <c r="Y20" i="3"/>
  <c r="AD19" i="3"/>
  <c r="AE19" i="3" s="1"/>
  <c r="AC19" i="3"/>
  <c r="R21" i="3"/>
  <c r="W20" i="3"/>
  <c r="X20" i="3" s="1"/>
  <c r="V20" i="3"/>
  <c r="N18" i="3"/>
  <c r="P18" i="3" l="1"/>
  <c r="Q18" i="3" s="1"/>
  <c r="AC20" i="3"/>
  <c r="Y21" i="3"/>
  <c r="AD20" i="3"/>
  <c r="AE20" i="3" s="1"/>
  <c r="R22" i="3"/>
  <c r="V21" i="3"/>
  <c r="W21" i="3"/>
  <c r="X21" i="3" s="1"/>
  <c r="N19" i="3"/>
  <c r="P19" i="3" l="1"/>
  <c r="Q19" i="3" s="1"/>
  <c r="AD21" i="3"/>
  <c r="AE21" i="3" s="1"/>
  <c r="AC21" i="3"/>
  <c r="Y22" i="3"/>
  <c r="R23" i="3"/>
  <c r="W22" i="3"/>
  <c r="X22" i="3" s="1"/>
  <c r="V22" i="3"/>
  <c r="N20" i="3"/>
  <c r="P20" i="3" l="1"/>
  <c r="Q20" i="3" s="1"/>
  <c r="Y23" i="3"/>
  <c r="AD22" i="3"/>
  <c r="AE22" i="3" s="1"/>
  <c r="AC22" i="3"/>
  <c r="V23" i="3"/>
  <c r="W23" i="3"/>
  <c r="X23" i="3" s="1"/>
  <c r="R24" i="3"/>
  <c r="N21" i="3"/>
  <c r="P21" i="3" l="1"/>
  <c r="Q21" i="3" s="1"/>
  <c r="Y24" i="3"/>
  <c r="AD23" i="3"/>
  <c r="AE23" i="3" s="1"/>
  <c r="AC23" i="3"/>
  <c r="W24" i="3"/>
  <c r="X24" i="3" s="1"/>
  <c r="V24" i="3"/>
  <c r="R25" i="3"/>
  <c r="N22" i="3"/>
  <c r="P22" i="3" l="1"/>
  <c r="Q22" i="3" s="1"/>
  <c r="AC24" i="3"/>
  <c r="Y25" i="3"/>
  <c r="AD24" i="3"/>
  <c r="AE24" i="3" s="1"/>
  <c r="W25" i="3"/>
  <c r="X25" i="3" s="1"/>
  <c r="V25" i="3"/>
  <c r="R26" i="3"/>
  <c r="N23" i="3"/>
  <c r="P23" i="3" l="1"/>
  <c r="Q23" i="3" s="1"/>
  <c r="AD25" i="3"/>
  <c r="AE25" i="3" s="1"/>
  <c r="AC25" i="3"/>
  <c r="Y26" i="3"/>
  <c r="R27" i="3"/>
  <c r="W26" i="3"/>
  <c r="X26" i="3" s="1"/>
  <c r="V26" i="3"/>
  <c r="N24" i="3"/>
  <c r="P24" i="3" l="1"/>
  <c r="Q24" i="3" s="1"/>
  <c r="Y27" i="3"/>
  <c r="AD26" i="3"/>
  <c r="AE26" i="3" s="1"/>
  <c r="AC26" i="3"/>
  <c r="R28" i="3"/>
  <c r="W27" i="3"/>
  <c r="X27" i="3" s="1"/>
  <c r="V27" i="3"/>
  <c r="N25" i="3"/>
  <c r="P25" i="3" l="1"/>
  <c r="Q25" i="3" s="1"/>
  <c r="Y28" i="3"/>
  <c r="AD27" i="3"/>
  <c r="AE27" i="3" s="1"/>
  <c r="AC27" i="3"/>
  <c r="R29" i="3"/>
  <c r="W28" i="3"/>
  <c r="X28" i="3" s="1"/>
  <c r="V28" i="3"/>
  <c r="N26" i="3"/>
  <c r="P26" i="3" l="1"/>
  <c r="Q26" i="3" s="1"/>
  <c r="AC28" i="3"/>
  <c r="Y29" i="3"/>
  <c r="AD28" i="3"/>
  <c r="AE28" i="3" s="1"/>
  <c r="R30" i="3"/>
  <c r="V29" i="3"/>
  <c r="W29" i="3"/>
  <c r="X29" i="3" s="1"/>
  <c r="N27" i="3"/>
  <c r="P27" i="3" l="1"/>
  <c r="Q27" i="3" s="1"/>
  <c r="AD29" i="3"/>
  <c r="AE29" i="3" s="1"/>
  <c r="AC29" i="3"/>
  <c r="Y30" i="3"/>
  <c r="R31" i="3"/>
  <c r="W30" i="3"/>
  <c r="X30" i="3" s="1"/>
  <c r="V30" i="3"/>
  <c r="N28" i="3"/>
  <c r="P28" i="3" l="1"/>
  <c r="Q28" i="3" s="1"/>
  <c r="Y31" i="3"/>
  <c r="AD30" i="3"/>
  <c r="AE30" i="3" s="1"/>
  <c r="AC30" i="3"/>
  <c r="V31" i="3"/>
  <c r="W31" i="3"/>
  <c r="X31" i="3" s="1"/>
  <c r="R32" i="3"/>
  <c r="N29" i="3"/>
  <c r="P29" i="3" l="1"/>
  <c r="Q29" i="3" s="1"/>
  <c r="Y32" i="3"/>
  <c r="AD31" i="3"/>
  <c r="AE31" i="3" s="1"/>
  <c r="AC31" i="3"/>
  <c r="W32" i="3"/>
  <c r="X32" i="3" s="1"/>
  <c r="V32" i="3"/>
  <c r="R33" i="3"/>
  <c r="N30" i="3"/>
  <c r="P30" i="3" l="1"/>
  <c r="Q30" i="3" s="1"/>
  <c r="AC32" i="3"/>
  <c r="Y33" i="3"/>
  <c r="AD32" i="3"/>
  <c r="AE32" i="3" s="1"/>
  <c r="W33" i="3"/>
  <c r="X33" i="3" s="1"/>
  <c r="V33" i="3"/>
  <c r="R34" i="3"/>
  <c r="N31" i="3"/>
  <c r="P31" i="3" l="1"/>
  <c r="Q31" i="3" s="1"/>
  <c r="AD33" i="3"/>
  <c r="AE33" i="3" s="1"/>
  <c r="AC33" i="3"/>
  <c r="Y34" i="3"/>
  <c r="R35" i="3"/>
  <c r="W34" i="3"/>
  <c r="X34" i="3" s="1"/>
  <c r="V34" i="3"/>
  <c r="N32" i="3"/>
  <c r="P32" i="3" l="1"/>
  <c r="Q32" i="3" s="1"/>
  <c r="Y35" i="3"/>
  <c r="AD34" i="3"/>
  <c r="AE34" i="3" s="1"/>
  <c r="AC34" i="3"/>
  <c r="R36" i="3"/>
  <c r="V35" i="3"/>
  <c r="W35" i="3"/>
  <c r="X35" i="3" s="1"/>
  <c r="N33" i="3"/>
  <c r="P33" i="3" l="1"/>
  <c r="Q33" i="3" s="1"/>
  <c r="Y36" i="3"/>
  <c r="AD35" i="3"/>
  <c r="AE35" i="3" s="1"/>
  <c r="AC35" i="3"/>
  <c r="R37" i="3"/>
  <c r="W36" i="3"/>
  <c r="X36" i="3" s="1"/>
  <c r="V36" i="3"/>
  <c r="N34" i="3"/>
  <c r="P34" i="3" l="1"/>
  <c r="Q34" i="3" s="1"/>
  <c r="AC36" i="3"/>
  <c r="Y37" i="3"/>
  <c r="AD36" i="3"/>
  <c r="AE36" i="3" s="1"/>
  <c r="R38" i="3"/>
  <c r="V37" i="3"/>
  <c r="W37" i="3"/>
  <c r="X37" i="3" s="1"/>
  <c r="N35" i="3"/>
  <c r="P35" i="3" l="1"/>
  <c r="Q35" i="3" s="1"/>
  <c r="AD37" i="3"/>
  <c r="AE37" i="3" s="1"/>
  <c r="AC37" i="3"/>
  <c r="Y38" i="3"/>
  <c r="R39" i="3"/>
  <c r="W38" i="3"/>
  <c r="X38" i="3" s="1"/>
  <c r="V38" i="3"/>
  <c r="N36" i="3"/>
  <c r="P36" i="3" l="1"/>
  <c r="Q36" i="3" s="1"/>
  <c r="Y39" i="3"/>
  <c r="AD38" i="3"/>
  <c r="AE38" i="3" s="1"/>
  <c r="AC38" i="3"/>
  <c r="V39" i="3"/>
  <c r="W39" i="3"/>
  <c r="X39" i="3" s="1"/>
  <c r="R40" i="3"/>
  <c r="N37" i="3"/>
  <c r="P37" i="3" l="1"/>
  <c r="Q37" i="3" s="1"/>
  <c r="Y40" i="3"/>
  <c r="AD39" i="3"/>
  <c r="AE39" i="3" s="1"/>
  <c r="AC39" i="3"/>
  <c r="W40" i="3"/>
  <c r="X40" i="3" s="1"/>
  <c r="V40" i="3"/>
  <c r="R41" i="3"/>
  <c r="N38" i="3"/>
  <c r="P38" i="3" l="1"/>
  <c r="Q38" i="3" s="1"/>
  <c r="AC40" i="3"/>
  <c r="Y41" i="3"/>
  <c r="AD40" i="3"/>
  <c r="AE40" i="3" s="1"/>
  <c r="W41" i="3"/>
  <c r="X41" i="3" s="1"/>
  <c r="V41" i="3"/>
  <c r="R42" i="3"/>
  <c r="N39" i="3"/>
  <c r="P39" i="3" l="1"/>
  <c r="Q39" i="3" s="1"/>
  <c r="AD41" i="3"/>
  <c r="AE41" i="3" s="1"/>
  <c r="AC41" i="3"/>
  <c r="Y42" i="3"/>
  <c r="R43" i="3"/>
  <c r="W42" i="3"/>
  <c r="X42" i="3" s="1"/>
  <c r="V42" i="3"/>
  <c r="N40" i="3"/>
  <c r="P40" i="3" l="1"/>
  <c r="Q40" i="3" s="1"/>
  <c r="Y43" i="3"/>
  <c r="AD42" i="3"/>
  <c r="AE42" i="3" s="1"/>
  <c r="AC42" i="3"/>
  <c r="R44" i="3"/>
  <c r="W43" i="3"/>
  <c r="X43" i="3" s="1"/>
  <c r="V43" i="3"/>
  <c r="N41" i="3"/>
  <c r="P41" i="3" l="1"/>
  <c r="Q41" i="3" s="1"/>
  <c r="Y44" i="3"/>
  <c r="AD43" i="3"/>
  <c r="AE43" i="3" s="1"/>
  <c r="AC43" i="3"/>
  <c r="R45" i="3"/>
  <c r="W44" i="3"/>
  <c r="X44" i="3" s="1"/>
  <c r="V44" i="3"/>
  <c r="N42" i="3"/>
  <c r="P42" i="3" l="1"/>
  <c r="Q42" i="3" s="1"/>
  <c r="AC44" i="3"/>
  <c r="Y45" i="3"/>
  <c r="AD44" i="3"/>
  <c r="AE44" i="3" s="1"/>
  <c r="R46" i="3"/>
  <c r="V45" i="3"/>
  <c r="W45" i="3"/>
  <c r="X45" i="3" s="1"/>
  <c r="N43" i="3"/>
  <c r="P43" i="3" l="1"/>
  <c r="Q43" i="3" s="1"/>
  <c r="AD45" i="3"/>
  <c r="AE45" i="3" s="1"/>
  <c r="AC45" i="3"/>
  <c r="Y46" i="3"/>
  <c r="R47" i="3"/>
  <c r="W46" i="3"/>
  <c r="X46" i="3" s="1"/>
  <c r="V46" i="3"/>
  <c r="N44" i="3"/>
  <c r="P44" i="3" l="1"/>
  <c r="Q44" i="3" s="1"/>
  <c r="Y47" i="3"/>
  <c r="AD46" i="3"/>
  <c r="AE46" i="3" s="1"/>
  <c r="AC46" i="3"/>
  <c r="V47" i="3"/>
  <c r="W47" i="3"/>
  <c r="X47" i="3" s="1"/>
  <c r="R48" i="3"/>
  <c r="N45" i="3"/>
  <c r="P45" i="3" l="1"/>
  <c r="Q45" i="3" s="1"/>
  <c r="Y48" i="3"/>
  <c r="AD47" i="3"/>
  <c r="AE47" i="3" s="1"/>
  <c r="AC47" i="3"/>
  <c r="W48" i="3"/>
  <c r="X48" i="3" s="1"/>
  <c r="V48" i="3"/>
  <c r="R49" i="3"/>
  <c r="N46" i="3"/>
  <c r="P46" i="3" l="1"/>
  <c r="Q46" i="3" s="1"/>
  <c r="AC48" i="3"/>
  <c r="Y49" i="3"/>
  <c r="AD48" i="3"/>
  <c r="AE48" i="3" s="1"/>
  <c r="W49" i="3"/>
  <c r="X49" i="3" s="1"/>
  <c r="V49" i="3"/>
  <c r="R50" i="3"/>
  <c r="N47" i="3"/>
  <c r="P47" i="3" l="1"/>
  <c r="Q47" i="3" s="1"/>
  <c r="AD49" i="3"/>
  <c r="AE49" i="3" s="1"/>
  <c r="AC49" i="3"/>
  <c r="Y50" i="3"/>
  <c r="R51" i="3"/>
  <c r="W50" i="3"/>
  <c r="X50" i="3" s="1"/>
  <c r="V50" i="3"/>
  <c r="N48" i="3"/>
  <c r="P48" i="3" l="1"/>
  <c r="Q48" i="3" s="1"/>
  <c r="Y51" i="3"/>
  <c r="AD50" i="3"/>
  <c r="AE50" i="3" s="1"/>
  <c r="AC50" i="3"/>
  <c r="R52" i="3"/>
  <c r="W51" i="3"/>
  <c r="X51" i="3" s="1"/>
  <c r="V51" i="3"/>
  <c r="N49" i="3"/>
  <c r="P49" i="3" l="1"/>
  <c r="Q49" i="3" s="1"/>
  <c r="Y52" i="3"/>
  <c r="AD51" i="3"/>
  <c r="AE51" i="3" s="1"/>
  <c r="AC51" i="3"/>
  <c r="R53" i="3"/>
  <c r="W52" i="3"/>
  <c r="X52" i="3" s="1"/>
  <c r="V52" i="3"/>
  <c r="N50" i="3"/>
  <c r="P50" i="3" l="1"/>
  <c r="Q50" i="3" s="1"/>
  <c r="AC52" i="3"/>
  <c r="Y53" i="3"/>
  <c r="AD52" i="3"/>
  <c r="AE52" i="3" s="1"/>
  <c r="R54" i="3"/>
  <c r="V53" i="3"/>
  <c r="W53" i="3"/>
  <c r="X53" i="3" s="1"/>
  <c r="N51" i="3"/>
  <c r="P51" i="3" l="1"/>
  <c r="Q51" i="3" s="1"/>
  <c r="AD53" i="3"/>
  <c r="AE53" i="3" s="1"/>
  <c r="AC53" i="3"/>
  <c r="Y54" i="3"/>
  <c r="R55" i="3"/>
  <c r="W54" i="3"/>
  <c r="X54" i="3" s="1"/>
  <c r="V54" i="3"/>
  <c r="N52" i="3"/>
  <c r="P52" i="3" l="1"/>
  <c r="Q52" i="3" s="1"/>
  <c r="Y55" i="3"/>
  <c r="AD54" i="3"/>
  <c r="AE54" i="3" s="1"/>
  <c r="AC54" i="3"/>
  <c r="V55" i="3"/>
  <c r="W55" i="3"/>
  <c r="X55" i="3" s="1"/>
  <c r="R56" i="3"/>
  <c r="N53" i="3"/>
  <c r="P53" i="3" l="1"/>
  <c r="Q53" i="3" s="1"/>
  <c r="Y56" i="3"/>
  <c r="AD55" i="3"/>
  <c r="AE55" i="3" s="1"/>
  <c r="AC55" i="3"/>
  <c r="W56" i="3"/>
  <c r="X56" i="3" s="1"/>
  <c r="V56" i="3"/>
  <c r="R57" i="3"/>
  <c r="N54" i="3"/>
  <c r="P54" i="3" l="1"/>
  <c r="Q54" i="3" s="1"/>
  <c r="AC56" i="3"/>
  <c r="Y57" i="3"/>
  <c r="AD56" i="3"/>
  <c r="AE56" i="3" s="1"/>
  <c r="W57" i="3"/>
  <c r="X57" i="3" s="1"/>
  <c r="V57" i="3"/>
  <c r="R58" i="3"/>
  <c r="N55" i="3"/>
  <c r="P55" i="3" l="1"/>
  <c r="Q55" i="3" s="1"/>
  <c r="AD57" i="3"/>
  <c r="AE57" i="3" s="1"/>
  <c r="AC57" i="3"/>
  <c r="Y58" i="3"/>
  <c r="R59" i="3"/>
  <c r="W58" i="3"/>
  <c r="X58" i="3" s="1"/>
  <c r="V58" i="3"/>
  <c r="N56" i="3"/>
  <c r="P56" i="3" l="1"/>
  <c r="Q56" i="3" s="1"/>
  <c r="Y59" i="3"/>
  <c r="AD58" i="3"/>
  <c r="AE58" i="3" s="1"/>
  <c r="AC58" i="3"/>
  <c r="R60" i="3"/>
  <c r="W59" i="3"/>
  <c r="X59" i="3" s="1"/>
  <c r="V59" i="3"/>
  <c r="N57" i="3"/>
  <c r="P57" i="3" l="1"/>
  <c r="Q57" i="3" s="1"/>
  <c r="Y60" i="3"/>
  <c r="AD59" i="3"/>
  <c r="AE59" i="3" s="1"/>
  <c r="AC59" i="3"/>
  <c r="R61" i="3"/>
  <c r="W60" i="3"/>
  <c r="X60" i="3" s="1"/>
  <c r="V60" i="3"/>
  <c r="N58" i="3"/>
  <c r="P58" i="3" l="1"/>
  <c r="Q58" i="3" s="1"/>
  <c r="AC60" i="3"/>
  <c r="Y61" i="3"/>
  <c r="AD60" i="3"/>
  <c r="AE60" i="3" s="1"/>
  <c r="R62" i="3"/>
  <c r="V61" i="3"/>
  <c r="W61" i="3"/>
  <c r="X61" i="3" s="1"/>
  <c r="N59" i="3"/>
  <c r="P59" i="3" l="1"/>
  <c r="Q59" i="3" s="1"/>
  <c r="AD61" i="3"/>
  <c r="AE61" i="3" s="1"/>
  <c r="AC61" i="3"/>
  <c r="Y62" i="3"/>
  <c r="R63" i="3"/>
  <c r="W62" i="3"/>
  <c r="X62" i="3" s="1"/>
  <c r="V62" i="3"/>
  <c r="N60" i="3"/>
  <c r="P60" i="3" l="1"/>
  <c r="Q60" i="3" s="1"/>
  <c r="Y63" i="3"/>
  <c r="AD62" i="3"/>
  <c r="AE62" i="3" s="1"/>
  <c r="AC62" i="3"/>
  <c r="V63" i="3"/>
  <c r="W63" i="3"/>
  <c r="X63" i="3" s="1"/>
  <c r="R64" i="3"/>
  <c r="N61" i="3"/>
  <c r="P61" i="3" l="1"/>
  <c r="Q61" i="3" s="1"/>
  <c r="Y64" i="3"/>
  <c r="AD63" i="3"/>
  <c r="AE63" i="3" s="1"/>
  <c r="AC63" i="3"/>
  <c r="W64" i="3"/>
  <c r="X64" i="3" s="1"/>
  <c r="V64" i="3"/>
  <c r="R65" i="3"/>
  <c r="N62" i="3"/>
  <c r="P62" i="3" l="1"/>
  <c r="Q62" i="3" s="1"/>
  <c r="AC64" i="3"/>
  <c r="Y65" i="3"/>
  <c r="AD64" i="3"/>
  <c r="AE64" i="3" s="1"/>
  <c r="W65" i="3"/>
  <c r="X65" i="3" s="1"/>
  <c r="V65" i="3"/>
  <c r="R66" i="3"/>
  <c r="N63" i="3"/>
  <c r="P63" i="3" l="1"/>
  <c r="Q63" i="3" s="1"/>
  <c r="AD65" i="3"/>
  <c r="AE65" i="3" s="1"/>
  <c r="AC65" i="3"/>
  <c r="Y66" i="3"/>
  <c r="R67" i="3"/>
  <c r="W66" i="3"/>
  <c r="X66" i="3" s="1"/>
  <c r="V66" i="3"/>
  <c r="N64" i="3"/>
  <c r="P64" i="3" l="1"/>
  <c r="Q64" i="3" s="1"/>
  <c r="Y67" i="3"/>
  <c r="AD66" i="3"/>
  <c r="AE66" i="3" s="1"/>
  <c r="AC66" i="3"/>
  <c r="R68" i="3"/>
  <c r="W67" i="3"/>
  <c r="X67" i="3" s="1"/>
  <c r="V67" i="3"/>
  <c r="N65" i="3"/>
  <c r="P65" i="3" l="1"/>
  <c r="Q65" i="3" s="1"/>
  <c r="AC67" i="3"/>
  <c r="Y68" i="3"/>
  <c r="AD67" i="3"/>
  <c r="AE67" i="3" s="1"/>
  <c r="R69" i="3"/>
  <c r="W68" i="3"/>
  <c r="X68" i="3" s="1"/>
  <c r="V68" i="3"/>
  <c r="N66" i="3"/>
  <c r="P66" i="3" l="1"/>
  <c r="Q66" i="3" s="1"/>
  <c r="AC68" i="3"/>
  <c r="Y69" i="3"/>
  <c r="AD68" i="3"/>
  <c r="AE68" i="3" s="1"/>
  <c r="R70" i="3"/>
  <c r="V69" i="3"/>
  <c r="W69" i="3"/>
  <c r="X69" i="3" s="1"/>
  <c r="N67" i="3"/>
  <c r="P67" i="3" l="1"/>
  <c r="Q67" i="3" s="1"/>
  <c r="AD69" i="3"/>
  <c r="AE69" i="3" s="1"/>
  <c r="AC69" i="3"/>
  <c r="Y70" i="3"/>
  <c r="R71" i="3"/>
  <c r="W70" i="3"/>
  <c r="X70" i="3" s="1"/>
  <c r="V70" i="3"/>
  <c r="N68" i="3"/>
  <c r="P68" i="3" l="1"/>
  <c r="Q68" i="3" s="1"/>
  <c r="Y71" i="3"/>
  <c r="AD70" i="3"/>
  <c r="AE70" i="3" s="1"/>
  <c r="AC70" i="3"/>
  <c r="V71" i="3"/>
  <c r="W71" i="3"/>
  <c r="X71" i="3" s="1"/>
  <c r="R72" i="3"/>
  <c r="N69" i="3"/>
  <c r="P69" i="3" l="1"/>
  <c r="Q69" i="3" s="1"/>
  <c r="Y72" i="3"/>
  <c r="AC71" i="3"/>
  <c r="AD71" i="3"/>
  <c r="AE71" i="3" s="1"/>
  <c r="W72" i="3"/>
  <c r="X72" i="3" s="1"/>
  <c r="V72" i="3"/>
  <c r="R73" i="3"/>
  <c r="N70" i="3"/>
  <c r="P70" i="3" l="1"/>
  <c r="Q70" i="3" s="1"/>
  <c r="AC72" i="3"/>
  <c r="Y73" i="3"/>
  <c r="AD72" i="3"/>
  <c r="AE72" i="3" s="1"/>
  <c r="W73" i="3"/>
  <c r="X73" i="3" s="1"/>
  <c r="V73" i="3"/>
  <c r="R74" i="3"/>
  <c r="N71" i="3"/>
  <c r="P71" i="3" l="1"/>
  <c r="Q71" i="3" s="1"/>
  <c r="AD73" i="3"/>
  <c r="AE73" i="3" s="1"/>
  <c r="AC73" i="3"/>
  <c r="Y74" i="3"/>
  <c r="R75" i="3"/>
  <c r="W74" i="3"/>
  <c r="X74" i="3" s="1"/>
  <c r="V74" i="3"/>
  <c r="N72" i="3"/>
  <c r="P72" i="3" l="1"/>
  <c r="Q72" i="3" s="1"/>
  <c r="Y75" i="3"/>
  <c r="AD74" i="3"/>
  <c r="AE74" i="3" s="1"/>
  <c r="AC74" i="3"/>
  <c r="R76" i="3"/>
  <c r="W75" i="3"/>
  <c r="X75" i="3" s="1"/>
  <c r="V75" i="3"/>
  <c r="N73" i="3"/>
  <c r="P73" i="3" l="1"/>
  <c r="Q73" i="3" s="1"/>
  <c r="AC75" i="3"/>
  <c r="Y76" i="3"/>
  <c r="AD75" i="3"/>
  <c r="AE75" i="3" s="1"/>
  <c r="R77" i="3"/>
  <c r="W76" i="3"/>
  <c r="X76" i="3" s="1"/>
  <c r="V76" i="3"/>
  <c r="N74" i="3"/>
  <c r="P74" i="3" l="1"/>
  <c r="Q74" i="3" s="1"/>
  <c r="AC76" i="3"/>
  <c r="Y77" i="3"/>
  <c r="AD76" i="3"/>
  <c r="AE76" i="3" s="1"/>
  <c r="R78" i="3"/>
  <c r="V77" i="3"/>
  <c r="W77" i="3"/>
  <c r="X77" i="3" s="1"/>
  <c r="N75" i="3"/>
  <c r="P75" i="3" l="1"/>
  <c r="Q75" i="3" s="1"/>
  <c r="AD77" i="3"/>
  <c r="AE77" i="3" s="1"/>
  <c r="AC77" i="3"/>
  <c r="Y78" i="3"/>
  <c r="R79" i="3"/>
  <c r="W78" i="3"/>
  <c r="X78" i="3" s="1"/>
  <c r="V78" i="3"/>
  <c r="N76" i="3"/>
  <c r="P76" i="3" l="1"/>
  <c r="Q76" i="3" s="1"/>
  <c r="Y79" i="3"/>
  <c r="AD78" i="3"/>
  <c r="AE78" i="3" s="1"/>
  <c r="AC78" i="3"/>
  <c r="V79" i="3"/>
  <c r="W79" i="3"/>
  <c r="X79" i="3" s="1"/>
  <c r="R80" i="3"/>
  <c r="N77" i="3"/>
  <c r="P77" i="3" l="1"/>
  <c r="Q77" i="3" s="1"/>
  <c r="AC79" i="3"/>
  <c r="Y80" i="3"/>
  <c r="AD79" i="3"/>
  <c r="AE79" i="3" s="1"/>
  <c r="W80" i="3"/>
  <c r="X80" i="3" s="1"/>
  <c r="V80" i="3"/>
  <c r="R81" i="3"/>
  <c r="N78" i="3"/>
  <c r="P78" i="3" l="1"/>
  <c r="Q78" i="3" s="1"/>
  <c r="AC80" i="3"/>
  <c r="Y81" i="3"/>
  <c r="AD80" i="3"/>
  <c r="AE80" i="3" s="1"/>
  <c r="W81" i="3"/>
  <c r="X81" i="3" s="1"/>
  <c r="V81" i="3"/>
  <c r="R82" i="3"/>
  <c r="N79" i="3"/>
  <c r="P79" i="3" l="1"/>
  <c r="Q79" i="3" s="1"/>
  <c r="AD81" i="3"/>
  <c r="AE81" i="3" s="1"/>
  <c r="AC81" i="3"/>
  <c r="Y82" i="3"/>
  <c r="R83" i="3"/>
  <c r="W82" i="3"/>
  <c r="X82" i="3" s="1"/>
  <c r="V82" i="3"/>
  <c r="N80" i="3"/>
  <c r="P80" i="3" l="1"/>
  <c r="Q80" i="3" s="1"/>
  <c r="Y83" i="3"/>
  <c r="AD82" i="3"/>
  <c r="AE82" i="3" s="1"/>
  <c r="AC82" i="3"/>
  <c r="R84" i="3"/>
  <c r="W83" i="3"/>
  <c r="X83" i="3" s="1"/>
  <c r="V83" i="3"/>
  <c r="N81" i="3"/>
  <c r="P81" i="3" l="1"/>
  <c r="Q81" i="3" s="1"/>
  <c r="Y84" i="3"/>
  <c r="AC83" i="3"/>
  <c r="AD83" i="3"/>
  <c r="AE83" i="3" s="1"/>
  <c r="R85" i="3"/>
  <c r="W84" i="3"/>
  <c r="X84" i="3" s="1"/>
  <c r="V84" i="3"/>
  <c r="N82" i="3"/>
  <c r="P82" i="3" l="1"/>
  <c r="Q82" i="3" s="1"/>
  <c r="AC84" i="3"/>
  <c r="Y85" i="3"/>
  <c r="AD84" i="3"/>
  <c r="AE84" i="3" s="1"/>
  <c r="R86" i="3"/>
  <c r="V85" i="3"/>
  <c r="W85" i="3"/>
  <c r="X85" i="3" s="1"/>
  <c r="N83" i="3"/>
  <c r="P83" i="3" l="1"/>
  <c r="Q83" i="3" s="1"/>
  <c r="AD85" i="3"/>
  <c r="AE85" i="3" s="1"/>
  <c r="AC85" i="3"/>
  <c r="Y86" i="3"/>
  <c r="R87" i="3"/>
  <c r="W86" i="3"/>
  <c r="X86" i="3" s="1"/>
  <c r="V86" i="3"/>
  <c r="N84" i="3"/>
  <c r="P84" i="3" l="1"/>
  <c r="Q84" i="3" s="1"/>
  <c r="Y87" i="3"/>
  <c r="AD86" i="3"/>
  <c r="AE86" i="3" s="1"/>
  <c r="AC86" i="3"/>
  <c r="V87" i="3"/>
  <c r="W87" i="3"/>
  <c r="X87" i="3" s="1"/>
  <c r="R88" i="3"/>
  <c r="N85" i="3"/>
  <c r="P85" i="3" l="1"/>
  <c r="Q85" i="3" s="1"/>
  <c r="Y88" i="3"/>
  <c r="AC87" i="3"/>
  <c r="AD87" i="3"/>
  <c r="AE87" i="3" s="1"/>
  <c r="W88" i="3"/>
  <c r="X88" i="3" s="1"/>
  <c r="V88" i="3"/>
  <c r="R89" i="3"/>
  <c r="N86" i="3"/>
  <c r="P86" i="3" l="1"/>
  <c r="Q86" i="3" s="1"/>
  <c r="AC88" i="3"/>
  <c r="Y89" i="3"/>
  <c r="AD88" i="3"/>
  <c r="AE88" i="3" s="1"/>
  <c r="W89" i="3"/>
  <c r="X89" i="3" s="1"/>
  <c r="V89" i="3"/>
  <c r="R90" i="3"/>
  <c r="N87" i="3"/>
  <c r="P87" i="3" l="1"/>
  <c r="Q87" i="3" s="1"/>
  <c r="AD89" i="3"/>
  <c r="AE89" i="3" s="1"/>
  <c r="AC89" i="3"/>
  <c r="Y90" i="3"/>
  <c r="R91" i="3"/>
  <c r="W90" i="3"/>
  <c r="X90" i="3" s="1"/>
  <c r="V90" i="3"/>
  <c r="N88" i="3"/>
  <c r="P88" i="3" l="1"/>
  <c r="Q88" i="3" s="1"/>
  <c r="Y91" i="3"/>
  <c r="AD90" i="3"/>
  <c r="AE90" i="3" s="1"/>
  <c r="AC90" i="3"/>
  <c r="R92" i="3"/>
  <c r="W91" i="3"/>
  <c r="X91" i="3" s="1"/>
  <c r="V91" i="3"/>
  <c r="N89" i="3"/>
  <c r="P89" i="3" l="1"/>
  <c r="Q89" i="3" s="1"/>
  <c r="Y92" i="3"/>
  <c r="AD91" i="3"/>
  <c r="AE91" i="3" s="1"/>
  <c r="AC91" i="3"/>
  <c r="R93" i="3"/>
  <c r="W92" i="3"/>
  <c r="X92" i="3" s="1"/>
  <c r="V92" i="3"/>
  <c r="N90" i="3"/>
  <c r="P90" i="3" l="1"/>
  <c r="Q90" i="3" s="1"/>
  <c r="AC92" i="3"/>
  <c r="Y93" i="3"/>
  <c r="AD92" i="3"/>
  <c r="AE92" i="3" s="1"/>
  <c r="R94" i="3"/>
  <c r="V93" i="3"/>
  <c r="W93" i="3"/>
  <c r="X93" i="3" s="1"/>
  <c r="N91" i="3"/>
  <c r="P91" i="3" l="1"/>
  <c r="Q91" i="3" s="1"/>
  <c r="AD93" i="3"/>
  <c r="AE93" i="3" s="1"/>
  <c r="AC93" i="3"/>
  <c r="Y94" i="3"/>
  <c r="R95" i="3"/>
  <c r="W94" i="3"/>
  <c r="X94" i="3" s="1"/>
  <c r="V94" i="3"/>
  <c r="N92" i="3"/>
  <c r="P92" i="3" l="1"/>
  <c r="Q92" i="3" s="1"/>
  <c r="Y95" i="3"/>
  <c r="AD94" i="3"/>
  <c r="AE94" i="3" s="1"/>
  <c r="AC94" i="3"/>
  <c r="V95" i="3"/>
  <c r="W95" i="3"/>
  <c r="X95" i="3" s="1"/>
  <c r="R96" i="3"/>
  <c r="N93" i="3"/>
  <c r="P93" i="3" l="1"/>
  <c r="Q93" i="3" s="1"/>
  <c r="Y96" i="3"/>
  <c r="AD95" i="3"/>
  <c r="AE95" i="3" s="1"/>
  <c r="AC95" i="3"/>
  <c r="W96" i="3"/>
  <c r="X96" i="3" s="1"/>
  <c r="V96" i="3"/>
  <c r="R97" i="3"/>
  <c r="N94" i="3"/>
  <c r="P94" i="3" l="1"/>
  <c r="Q94" i="3" s="1"/>
  <c r="AC96" i="3"/>
  <c r="Y97" i="3"/>
  <c r="AD96" i="3"/>
  <c r="AE96" i="3" s="1"/>
  <c r="W97" i="3"/>
  <c r="X97" i="3" s="1"/>
  <c r="V97" i="3"/>
  <c r="R98" i="3"/>
  <c r="N95" i="3"/>
  <c r="P95" i="3" l="1"/>
  <c r="Q95" i="3" s="1"/>
  <c r="AD97" i="3"/>
  <c r="AE97" i="3" s="1"/>
  <c r="AC97" i="3"/>
  <c r="Y98" i="3"/>
  <c r="R99" i="3"/>
  <c r="W98" i="3"/>
  <c r="X98" i="3" s="1"/>
  <c r="V98" i="3"/>
  <c r="N96" i="3"/>
  <c r="P96" i="3" l="1"/>
  <c r="Q96" i="3" s="1"/>
  <c r="Y99" i="3"/>
  <c r="AD98" i="3"/>
  <c r="AE98" i="3" s="1"/>
  <c r="AC98" i="3"/>
  <c r="R100" i="3"/>
  <c r="W99" i="3"/>
  <c r="X99" i="3" s="1"/>
  <c r="V99" i="3"/>
  <c r="N97" i="3"/>
  <c r="P97" i="3" l="1"/>
  <c r="Q97" i="3" s="1"/>
  <c r="AC99" i="3"/>
  <c r="Y100" i="3"/>
  <c r="AD99" i="3"/>
  <c r="AE99" i="3" s="1"/>
  <c r="R101" i="3"/>
  <c r="W100" i="3"/>
  <c r="X100" i="3" s="1"/>
  <c r="V100" i="3"/>
  <c r="N98" i="3"/>
  <c r="P98" i="3" l="1"/>
  <c r="Q98" i="3" s="1"/>
  <c r="AC100" i="3"/>
  <c r="Y101" i="3"/>
  <c r="AD100" i="3"/>
  <c r="AE100" i="3" s="1"/>
  <c r="W101" i="3"/>
  <c r="X101" i="3" s="1"/>
  <c r="R102" i="3"/>
  <c r="V101" i="3"/>
  <c r="N99" i="3"/>
  <c r="P99" i="3" l="1"/>
  <c r="Q99" i="3" s="1"/>
  <c r="AD101" i="3"/>
  <c r="AE101" i="3" s="1"/>
  <c r="AC101" i="3"/>
  <c r="Y102" i="3"/>
  <c r="R103" i="3"/>
  <c r="W102" i="3"/>
  <c r="X102" i="3" s="1"/>
  <c r="V102" i="3"/>
  <c r="N100" i="3"/>
  <c r="P100" i="3" l="1"/>
  <c r="Q100" i="3" s="1"/>
  <c r="Y103" i="3"/>
  <c r="AD102" i="3"/>
  <c r="AE102" i="3" s="1"/>
  <c r="AC102" i="3"/>
  <c r="V103" i="3"/>
  <c r="R104" i="3"/>
  <c r="W103" i="3"/>
  <c r="X103" i="3" s="1"/>
  <c r="N101" i="3"/>
  <c r="P101" i="3" l="1"/>
  <c r="Q101" i="3" s="1"/>
  <c r="Y104" i="3"/>
  <c r="AC103" i="3"/>
  <c r="AD103" i="3"/>
  <c r="AE103" i="3" s="1"/>
  <c r="W104" i="3"/>
  <c r="X104" i="3" s="1"/>
  <c r="V104" i="3"/>
  <c r="R105" i="3"/>
  <c r="N102" i="3"/>
  <c r="P102" i="3" l="1"/>
  <c r="Q102" i="3" s="1"/>
  <c r="AC104" i="3"/>
  <c r="Y105" i="3"/>
  <c r="AD104" i="3"/>
  <c r="AE104" i="3" s="1"/>
  <c r="W105" i="3"/>
  <c r="X105" i="3" s="1"/>
  <c r="V105" i="3"/>
  <c r="N103" i="3"/>
  <c r="P103" i="3" l="1"/>
  <c r="Q103" i="3" s="1"/>
  <c r="AD105" i="3"/>
  <c r="AE105" i="3" s="1"/>
  <c r="AC105" i="3"/>
  <c r="N104" i="3"/>
  <c r="P105" i="3" l="1"/>
  <c r="Q105" i="3" s="1"/>
  <c r="P104" i="3"/>
  <c r="Q104" i="3" s="1"/>
  <c r="N105" i="3"/>
</calcChain>
</file>

<file path=xl/sharedStrings.xml><?xml version="1.0" encoding="utf-8"?>
<sst xmlns="http://schemas.openxmlformats.org/spreadsheetml/2006/main" count="25" uniqueCount="25">
  <si>
    <t>Dealer</t>
  </si>
  <si>
    <t>You</t>
  </si>
  <si>
    <t>Cards Remaining:</t>
  </si>
  <si>
    <t>New Game</t>
  </si>
  <si>
    <t>Rules</t>
  </si>
  <si>
    <t>Your Total</t>
  </si>
  <si>
    <t>Dealer Total</t>
  </si>
  <si>
    <t>Decks In Play:</t>
  </si>
  <si>
    <t>2. Dealer wins all ties (including double 21, aside from double blackjack).</t>
  </si>
  <si>
    <t>3. You automatically lose on bust.</t>
  </si>
  <si>
    <t>In Game Info</t>
  </si>
  <si>
    <t>Shuffle Chance:</t>
  </si>
  <si>
    <t>Win Rate</t>
  </si>
  <si>
    <t>Wins</t>
  </si>
  <si>
    <t>Games Played</t>
  </si>
  <si>
    <t>4. Shuffling occurs by random chance.</t>
  </si>
  <si>
    <t>1. Dealer stands on 17.</t>
  </si>
  <si>
    <t>Player interaction</t>
  </si>
  <si>
    <t>Player passes interaction to AI</t>
  </si>
  <si>
    <t>Processes done by Excel</t>
  </si>
  <si>
    <t>Red</t>
  </si>
  <si>
    <t>Yellow</t>
  </si>
  <si>
    <t>Green</t>
  </si>
  <si>
    <t>Blue</t>
  </si>
  <si>
    <t>Action ends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</si>
</sst>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sz val="12"/>
      <color theme="1"/>
      <name val="Courier New"/>
      <family val="3"/>
    </font>
    <font>
      <sz val="12"/>
      <color theme="0"/>
      <name val="Courier New"/>
      <family val="3"/>
    </font>
    <font>
      <b/>
      <sz val="12"/>
      <color theme="0"/>
      <name val="Courier New"/>
      <family val="3"/>
    </font>
    <font>
      <b/>
      <sz val="20"/>
      <color theme="0"/>
      <name val="Courier New"/>
      <family val="3"/>
    </font>
    <font>
      <b/>
      <sz val="24"/>
      <color theme="0"/>
      <name val="Courier New"/>
      <family val="3"/>
    </font>
    <font>
      <sz val="24"/>
      <color theme="0"/>
      <name val="Courier New"/>
      <family val="3"/>
    </font>
    <font>
      <sz val="16"/>
      <color theme="0"/>
      <name val="Courier New"/>
      <family val="3"/>
    </font>
    <font>
      <b/>
      <u/>
      <sz val="14"/>
      <color theme="1"/>
      <name val="Courier New"/>
      <family val="3"/>
    </font>
    <font>
      <b/>
      <sz val="16"/>
      <color theme="1"/>
      <name val="Courier New"/>
      <family val="3"/>
    </font>
    <font>
      <sz val="8"/>
      <color theme="0"/>
      <name val="Courier New"/>
      <family val="3"/>
    </font>
    <font>
      <b/>
      <sz val="22"/>
      <name val="Courier New"/>
      <family val="3"/>
    </font>
    <font>
      <b/>
      <u/>
      <sz val="12"/>
      <color theme="0"/>
      <name val="Courier New"/>
      <family val="3"/>
    </font>
    <font>
      <b/>
      <sz val="10.5"/>
      <color theme="0"/>
      <name val="Courier New"/>
      <family val="3"/>
    </font>
    <font>
      <sz val="12"/>
      <color theme="1"/>
      <name val="Times New Roman"/>
      <family val="1"/>
    </font>
    <font>
      <sz val="12"/>
      <color theme="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rgb="FF0063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3" borderId="0" xfId="0" applyFont="1" applyFill="1"/>
    <xf numFmtId="0" fontId="3" fillId="2" borderId="0" xfId="0" applyFont="1" applyFill="1" applyAlignment="1"/>
    <xf numFmtId="0" fontId="1" fillId="5" borderId="0" xfId="0" applyFont="1" applyFill="1"/>
    <xf numFmtId="0" fontId="2" fillId="2" borderId="0" xfId="0" applyFont="1" applyFill="1"/>
    <xf numFmtId="0" fontId="2" fillId="5" borderId="0" xfId="0" applyFont="1" applyFill="1"/>
    <xf numFmtId="0" fontId="2" fillId="2" borderId="0" xfId="0" applyFont="1" applyFill="1" applyAlignment="1">
      <alignment wrapText="1"/>
    </xf>
    <xf numFmtId="0" fontId="3" fillId="2" borderId="0" xfId="0" applyFont="1" applyFill="1" applyAlignment="1">
      <alignment wrapText="1"/>
    </xf>
    <xf numFmtId="0" fontId="2" fillId="4" borderId="0" xfId="0" applyFont="1" applyFill="1"/>
    <xf numFmtId="0" fontId="1" fillId="2" borderId="0" xfId="0" applyFont="1" applyFill="1" applyAlignment="1"/>
    <xf numFmtId="0" fontId="2" fillId="6" borderId="0" xfId="0" applyFont="1" applyFill="1"/>
    <xf numFmtId="0" fontId="2" fillId="7" borderId="0" xfId="0" applyFont="1" applyFill="1"/>
    <xf numFmtId="0" fontId="10" fillId="6" borderId="0" xfId="0" applyFont="1" applyFill="1"/>
    <xf numFmtId="0" fontId="7" fillId="3" borderId="0" xfId="0" applyFont="1" applyFill="1" applyAlignment="1">
      <alignment horizontal="left"/>
    </xf>
    <xf numFmtId="0" fontId="3" fillId="6" borderId="0" xfId="0" applyFont="1" applyFill="1" applyAlignment="1">
      <alignment horizontal="right"/>
    </xf>
    <xf numFmtId="0" fontId="3" fillId="6" borderId="0" xfId="0" applyFont="1" applyFill="1" applyAlignment="1">
      <alignment wrapText="1"/>
    </xf>
    <xf numFmtId="0" fontId="3" fillId="6" borderId="0" xfId="0" applyFont="1" applyFill="1" applyAlignment="1"/>
    <xf numFmtId="9" fontId="3" fillId="6" borderId="0" xfId="0" applyNumberFormat="1" applyFont="1" applyFill="1" applyAlignment="1"/>
    <xf numFmtId="0" fontId="0" fillId="0" borderId="0" xfId="0" applyFont="1"/>
    <xf numFmtId="0" fontId="14" fillId="0" borderId="0" xfId="0" applyFont="1"/>
    <xf numFmtId="0" fontId="14" fillId="9" borderId="0" xfId="0" applyFont="1" applyFill="1"/>
    <xf numFmtId="0" fontId="15" fillId="8" borderId="0" xfId="0" applyFont="1" applyFill="1"/>
    <xf numFmtId="0" fontId="15" fillId="10" borderId="0" xfId="0" applyFont="1" applyFill="1"/>
    <xf numFmtId="0" fontId="15" fillId="11" borderId="0" xfId="0" applyFont="1" applyFill="1"/>
    <xf numFmtId="0" fontId="7" fillId="3" borderId="0" xfId="0" applyFont="1" applyFill="1" applyAlignment="1">
      <alignment horizontal="left"/>
    </xf>
    <xf numFmtId="0" fontId="3" fillId="6" borderId="0" xfId="0" applyFont="1" applyFill="1" applyAlignment="1">
      <alignment horizontal="center" wrapText="1"/>
    </xf>
    <xf numFmtId="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/>
    </xf>
    <xf numFmtId="0" fontId="12" fillId="7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5" fillId="3" borderId="0" xfId="0" applyFont="1" applyFill="1" applyAlignment="1">
      <alignment horizontal="center" wrapText="1"/>
    </xf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right"/>
    </xf>
    <xf numFmtId="0" fontId="4" fillId="6" borderId="0" xfId="0" applyFont="1" applyFill="1" applyAlignment="1">
      <alignment horizontal="center" vertical="top"/>
    </xf>
    <xf numFmtId="0" fontId="4" fillId="3" borderId="0" xfId="0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'Algorithm Data'!$Q$1:$Q$105</c:f>
              <c:numCache>
                <c:formatCode>General</c:formatCode>
                <c:ptCount val="105"/>
                <c:pt idx="0">
                  <c:v>1</c:v>
                </c:pt>
                <c:pt idx="1">
                  <c:v>0.44471153846153849</c:v>
                </c:pt>
                <c:pt idx="2">
                  <c:v>0.29230769230769227</c:v>
                </c:pt>
                <c:pt idx="3">
                  <c:v>0.19134615384615383</c:v>
                </c:pt>
                <c:pt idx="4">
                  <c:v>0.15</c:v>
                </c:pt>
                <c:pt idx="5">
                  <c:v>0.10624999999999996</c:v>
                </c:pt>
                <c:pt idx="6">
                  <c:v>8.8461538461538453E-2</c:v>
                </c:pt>
                <c:pt idx="7">
                  <c:v>6.3221153846153857E-2</c:v>
                </c:pt>
                <c:pt idx="8">
                  <c:v>5.3846153846153856E-2</c:v>
                </c:pt>
                <c:pt idx="9">
                  <c:v>3.701923076923077E-2</c:v>
                </c:pt>
                <c:pt idx="10">
                  <c:v>3.1468531468531478E-2</c:v>
                </c:pt>
                <c:pt idx="11">
                  <c:v>1.9230769230769228E-2</c:v>
                </c:pt>
                <c:pt idx="12">
                  <c:v>1.5680473372781067E-2</c:v>
                </c:pt>
                <c:pt idx="13">
                  <c:v>6.2500000000000003E-3</c:v>
                </c:pt>
                <c:pt idx="14">
                  <c:v>3.8461538461538546E-3</c:v>
                </c:pt>
                <c:pt idx="15">
                  <c:v>3.7259615384615419E-2</c:v>
                </c:pt>
                <c:pt idx="16">
                  <c:v>5.4298642533936681E-2</c:v>
                </c:pt>
                <c:pt idx="17">
                  <c:v>0.1169871794871794</c:v>
                </c:pt>
                <c:pt idx="18">
                  <c:v>0.12955465587044546</c:v>
                </c:pt>
                <c:pt idx="19">
                  <c:v>0.18269230769230771</c:v>
                </c:pt>
                <c:pt idx="20">
                  <c:v>0.19230769230769229</c:v>
                </c:pt>
                <c:pt idx="21">
                  <c:v>0.23819930069930062</c:v>
                </c:pt>
                <c:pt idx="22">
                  <c:v>0.24581939799331098</c:v>
                </c:pt>
                <c:pt idx="23">
                  <c:v>0.28605769230769229</c:v>
                </c:pt>
                <c:pt idx="24">
                  <c:v>0.29230769230769227</c:v>
                </c:pt>
                <c:pt idx="25">
                  <c:v>0.32803254437869833</c:v>
                </c:pt>
                <c:pt idx="26">
                  <c:v>0.33333333333333337</c:v>
                </c:pt>
                <c:pt idx="27">
                  <c:v>0.36538461538461542</c:v>
                </c:pt>
                <c:pt idx="28">
                  <c:v>0.37002652519893908</c:v>
                </c:pt>
                <c:pt idx="29">
                  <c:v>0.39903846153846156</c:v>
                </c:pt>
                <c:pt idx="30">
                  <c:v>0.40322580645161288</c:v>
                </c:pt>
                <c:pt idx="31">
                  <c:v>0.4296875</c:v>
                </c:pt>
                <c:pt idx="32">
                  <c:v>0.43356643356643354</c:v>
                </c:pt>
                <c:pt idx="33">
                  <c:v>0.45786199095022628</c:v>
                </c:pt>
                <c:pt idx="34">
                  <c:v>0.46153846153846145</c:v>
                </c:pt>
                <c:pt idx="35">
                  <c:v>0.48397435897435903</c:v>
                </c:pt>
                <c:pt idx="36">
                  <c:v>0.48752598752598753</c:v>
                </c:pt>
                <c:pt idx="37">
                  <c:v>0.50835020242914974</c:v>
                </c:pt>
                <c:pt idx="38">
                  <c:v>0.51183431952662728</c:v>
                </c:pt>
                <c:pt idx="39">
                  <c:v>0.53125</c:v>
                </c:pt>
                <c:pt idx="40">
                  <c:v>0.53470919324577859</c:v>
                </c:pt>
                <c:pt idx="41">
                  <c:v>0.55288461538461542</c:v>
                </c:pt>
                <c:pt idx="42">
                  <c:v>0.55635062611806796</c:v>
                </c:pt>
                <c:pt idx="43">
                  <c:v>0.57342657342657333</c:v>
                </c:pt>
                <c:pt idx="44">
                  <c:v>0.57692307692307698</c:v>
                </c:pt>
                <c:pt idx="45">
                  <c:v>0.59301839464882944</c:v>
                </c:pt>
                <c:pt idx="46">
                  <c:v>0.59656301145662849</c:v>
                </c:pt>
                <c:pt idx="47">
                  <c:v>0.61177884615384603</c:v>
                </c:pt>
                <c:pt idx="48">
                  <c:v>0.61538461538461542</c:v>
                </c:pt>
                <c:pt idx="49">
                  <c:v>0.62980769230769229</c:v>
                </c:pt>
                <c:pt idx="50">
                  <c:v>0.63348416289592757</c:v>
                </c:pt>
                <c:pt idx="51">
                  <c:v>0.64718934911242609</c:v>
                </c:pt>
                <c:pt idx="52">
                  <c:v>0.65094339622641506</c:v>
                </c:pt>
                <c:pt idx="53">
                  <c:v>0.66399572649572647</c:v>
                </c:pt>
                <c:pt idx="54">
                  <c:v>0.66783216783216781</c:v>
                </c:pt>
                <c:pt idx="55">
                  <c:v>0.68028846153846145</c:v>
                </c:pt>
                <c:pt idx="56">
                  <c:v>0.68421052631578938</c:v>
                </c:pt>
                <c:pt idx="57">
                  <c:v>0.69612068965517238</c:v>
                </c:pt>
                <c:pt idx="58">
                  <c:v>0.70013037809647982</c:v>
                </c:pt>
                <c:pt idx="59">
                  <c:v>0.71153846153846156</c:v>
                </c:pt>
                <c:pt idx="60">
                  <c:v>0.71563682219419933</c:v>
                </c:pt>
                <c:pt idx="61">
                  <c:v>0.72658188585607941</c:v>
                </c:pt>
                <c:pt idx="62">
                  <c:v>0.73076923076923084</c:v>
                </c:pt>
                <c:pt idx="63">
                  <c:v>0.74128605769230771</c:v>
                </c:pt>
                <c:pt idx="64">
                  <c:v>0.74556213017751483</c:v>
                </c:pt>
                <c:pt idx="65">
                  <c:v>0.75568181818181812</c:v>
                </c:pt>
                <c:pt idx="66">
                  <c:v>0.7600459242250287</c:v>
                </c:pt>
                <c:pt idx="67">
                  <c:v>0.76979638009049767</c:v>
                </c:pt>
                <c:pt idx="68">
                  <c:v>0.77424749163879603</c:v>
                </c:pt>
                <c:pt idx="69">
                  <c:v>0.78365384615384615</c:v>
                </c:pt>
                <c:pt idx="70">
                  <c:v>0.78819068255687974</c:v>
                </c:pt>
                <c:pt idx="71">
                  <c:v>0.79727564102564108</c:v>
                </c:pt>
                <c:pt idx="72">
                  <c:v>0.8018967334035827</c:v>
                </c:pt>
                <c:pt idx="73">
                  <c:v>0.81068087318087323</c:v>
                </c:pt>
                <c:pt idx="74">
                  <c:v>0.81538461538461537</c:v>
                </c:pt>
                <c:pt idx="75">
                  <c:v>0.82388663967611331</c:v>
                </c:pt>
                <c:pt idx="76">
                  <c:v>0.82867132867132864</c:v>
                </c:pt>
                <c:pt idx="77">
                  <c:v>0.83690828402366857</c:v>
                </c:pt>
                <c:pt idx="78">
                  <c:v>0.84177215189873422</c:v>
                </c:pt>
                <c:pt idx="79">
                  <c:v>0.84975961538461542</c:v>
                </c:pt>
                <c:pt idx="80">
                  <c:v>0.85470085470085466</c:v>
                </c:pt>
                <c:pt idx="81">
                  <c:v>0.862453095684803</c:v>
                </c:pt>
                <c:pt idx="82">
                  <c:v>0.86746987951807231</c:v>
                </c:pt>
                <c:pt idx="83">
                  <c:v>0.875</c:v>
                </c:pt>
                <c:pt idx="84">
                  <c:v>0.88009049773755654</c:v>
                </c:pt>
                <c:pt idx="85">
                  <c:v>0.88741055456171736</c:v>
                </c:pt>
                <c:pt idx="86">
                  <c:v>0.89257294429708223</c:v>
                </c:pt>
                <c:pt idx="87">
                  <c:v>0.89969405594405594</c:v>
                </c:pt>
                <c:pt idx="88">
                  <c:v>0.90492653414001734</c:v>
                </c:pt>
                <c:pt idx="89">
                  <c:v>0.91185897435897434</c:v>
                </c:pt>
                <c:pt idx="90">
                  <c:v>0.91715976331360949</c:v>
                </c:pt>
                <c:pt idx="91">
                  <c:v>0.92391304347826086</c:v>
                </c:pt>
                <c:pt idx="92">
                  <c:v>0.92928039702233245</c:v>
                </c:pt>
                <c:pt idx="93">
                  <c:v>0.93586333878887074</c:v>
                </c:pt>
                <c:pt idx="94">
                  <c:v>0.9412955465587044</c:v>
                </c:pt>
                <c:pt idx="95">
                  <c:v>0.94771634615384615</c:v>
                </c:pt>
                <c:pt idx="96">
                  <c:v>0.9532117367168913</c:v>
                </c:pt>
                <c:pt idx="97">
                  <c:v>0.95947802197802201</c:v>
                </c:pt>
                <c:pt idx="98">
                  <c:v>0.965034965034965</c:v>
                </c:pt>
                <c:pt idx="99">
                  <c:v>0.97115384615384615</c:v>
                </c:pt>
                <c:pt idx="100">
                  <c:v>0.97677075399847679</c:v>
                </c:pt>
                <c:pt idx="101">
                  <c:v>0.98274886877828049</c:v>
                </c:pt>
                <c:pt idx="102">
                  <c:v>0.9884241971620612</c:v>
                </c:pt>
                <c:pt idx="103">
                  <c:v>0.99426775147928992</c:v>
                </c:pt>
                <c:pt idx="10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A7-4B82-9291-7B7E20F33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6153408"/>
        <c:axId val="606154392"/>
      </c:lineChart>
      <c:catAx>
        <c:axId val="60615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154392"/>
        <c:crosses val="autoZero"/>
        <c:auto val="1"/>
        <c:lblAlgn val="ctr"/>
        <c:lblOffset val="100"/>
        <c:noMultiLvlLbl val="0"/>
      </c:catAx>
      <c:valAx>
        <c:axId val="60615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15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Garbage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'Algorithm Data'!$X$1:$X$105</c:f>
              <c:numCache>
                <c:formatCode>General</c:formatCode>
                <c:ptCount val="105"/>
                <c:pt idx="0">
                  <c:v>0.9</c:v>
                </c:pt>
                <c:pt idx="1">
                  <c:v>0.39519230769230768</c:v>
                </c:pt>
                <c:pt idx="2">
                  <c:v>0.22692307692307692</c:v>
                </c:pt>
                <c:pt idx="3">
                  <c:v>0.14278846153846153</c:v>
                </c:pt>
                <c:pt idx="4">
                  <c:v>9.2307692307692313E-2</c:v>
                </c:pt>
                <c:pt idx="5">
                  <c:v>5.8653846153846147E-2</c:v>
                </c:pt>
                <c:pt idx="6">
                  <c:v>3.4615384615384624E-2</c:v>
                </c:pt>
                <c:pt idx="7">
                  <c:v>1.6586538461538458E-2</c:v>
                </c:pt>
                <c:pt idx="8">
                  <c:v>2.5641025641025771E-3</c:v>
                </c:pt>
                <c:pt idx="9">
                  <c:v>8.6538461538461564E-2</c:v>
                </c:pt>
                <c:pt idx="10">
                  <c:v>0.17832167832167833</c:v>
                </c:pt>
                <c:pt idx="11">
                  <c:v>0.25480769230769229</c:v>
                </c:pt>
                <c:pt idx="12">
                  <c:v>0.31952662721893488</c:v>
                </c:pt>
                <c:pt idx="13">
                  <c:v>0.375</c:v>
                </c:pt>
                <c:pt idx="14">
                  <c:v>0.42307692307692313</c:v>
                </c:pt>
                <c:pt idx="15">
                  <c:v>0.46514423076923084</c:v>
                </c:pt>
                <c:pt idx="16">
                  <c:v>0.50226244343891402</c:v>
                </c:pt>
                <c:pt idx="17">
                  <c:v>0.53525641025641024</c:v>
                </c:pt>
                <c:pt idx="18">
                  <c:v>0.56477732793522273</c:v>
                </c:pt>
                <c:pt idx="19">
                  <c:v>0.59134615384615385</c:v>
                </c:pt>
                <c:pt idx="20">
                  <c:v>0.61538461538461542</c:v>
                </c:pt>
                <c:pt idx="21">
                  <c:v>0.6372377622377623</c:v>
                </c:pt>
                <c:pt idx="22">
                  <c:v>0.65719063545150502</c:v>
                </c:pt>
                <c:pt idx="23">
                  <c:v>0.67548076923076916</c:v>
                </c:pt>
                <c:pt idx="24">
                  <c:v>0.69230769230769229</c:v>
                </c:pt>
                <c:pt idx="25">
                  <c:v>0.70784023668639051</c:v>
                </c:pt>
                <c:pt idx="26">
                  <c:v>0.72222222222222221</c:v>
                </c:pt>
                <c:pt idx="27">
                  <c:v>0.73557692307692313</c:v>
                </c:pt>
                <c:pt idx="28">
                  <c:v>0.74801061007957559</c:v>
                </c:pt>
                <c:pt idx="29">
                  <c:v>0.75961538461538458</c:v>
                </c:pt>
                <c:pt idx="30">
                  <c:v>0.77047146401985112</c:v>
                </c:pt>
                <c:pt idx="31">
                  <c:v>0.78064903846153855</c:v>
                </c:pt>
                <c:pt idx="32">
                  <c:v>0.79020979020979021</c:v>
                </c:pt>
                <c:pt idx="33">
                  <c:v>0.79920814479638014</c:v>
                </c:pt>
                <c:pt idx="34">
                  <c:v>0.80769230769230771</c:v>
                </c:pt>
                <c:pt idx="35">
                  <c:v>0.81570512820512819</c:v>
                </c:pt>
                <c:pt idx="36">
                  <c:v>0.82328482328482333</c:v>
                </c:pt>
                <c:pt idx="37">
                  <c:v>0.83046558704453444</c:v>
                </c:pt>
                <c:pt idx="38">
                  <c:v>0.8372781065088758</c:v>
                </c:pt>
                <c:pt idx="39">
                  <c:v>0.84375</c:v>
                </c:pt>
                <c:pt idx="40">
                  <c:v>0.84990619136960599</c:v>
                </c:pt>
                <c:pt idx="41">
                  <c:v>0.85576923076923084</c:v>
                </c:pt>
                <c:pt idx="42">
                  <c:v>0.86135957066189628</c:v>
                </c:pt>
                <c:pt idx="43">
                  <c:v>0.86669580419580416</c:v>
                </c:pt>
                <c:pt idx="44">
                  <c:v>0.87179487179487181</c:v>
                </c:pt>
                <c:pt idx="45">
                  <c:v>0.87667224080267558</c:v>
                </c:pt>
                <c:pt idx="46">
                  <c:v>0.88134206219312605</c:v>
                </c:pt>
                <c:pt idx="47">
                  <c:v>0.88581730769230771</c:v>
                </c:pt>
                <c:pt idx="48">
                  <c:v>0.89010989010989006</c:v>
                </c:pt>
                <c:pt idx="49">
                  <c:v>0.89423076923076916</c:v>
                </c:pt>
                <c:pt idx="50">
                  <c:v>0.89819004524886881</c:v>
                </c:pt>
                <c:pt idx="51">
                  <c:v>0.90199704142011838</c:v>
                </c:pt>
                <c:pt idx="52">
                  <c:v>0.90566037735849059</c:v>
                </c:pt>
                <c:pt idx="53">
                  <c:v>0.90918803418803418</c:v>
                </c:pt>
                <c:pt idx="54">
                  <c:v>0.91258741258741261</c:v>
                </c:pt>
                <c:pt idx="55">
                  <c:v>0.91586538461538458</c:v>
                </c:pt>
                <c:pt idx="56">
                  <c:v>0.91902834008097167</c:v>
                </c:pt>
                <c:pt idx="57">
                  <c:v>0.92208222811671092</c:v>
                </c:pt>
                <c:pt idx="58">
                  <c:v>0.92503259452412001</c:v>
                </c:pt>
                <c:pt idx="59">
                  <c:v>0.92788461538461542</c:v>
                </c:pt>
                <c:pt idx="60">
                  <c:v>0.93064312736443888</c:v>
                </c:pt>
                <c:pt idx="61">
                  <c:v>0.93331265508684869</c:v>
                </c:pt>
                <c:pt idx="62">
                  <c:v>0.9358974358974359</c:v>
                </c:pt>
                <c:pt idx="63">
                  <c:v>0.93840144230769229</c:v>
                </c:pt>
                <c:pt idx="64">
                  <c:v>0.94082840236686394</c:v>
                </c:pt>
                <c:pt idx="65">
                  <c:v>0.94318181818181812</c:v>
                </c:pt>
                <c:pt idx="66">
                  <c:v>0.94546498277841562</c:v>
                </c:pt>
                <c:pt idx="67">
                  <c:v>0.94768099547511309</c:v>
                </c:pt>
                <c:pt idx="68">
                  <c:v>0.94983277591973247</c:v>
                </c:pt>
                <c:pt idx="69">
                  <c:v>0.95192307692307687</c:v>
                </c:pt>
                <c:pt idx="70">
                  <c:v>0.95395449620801731</c:v>
                </c:pt>
                <c:pt idx="71">
                  <c:v>0.95592948717948723</c:v>
                </c:pt>
                <c:pt idx="72">
                  <c:v>0.95785036880927288</c:v>
                </c:pt>
                <c:pt idx="73">
                  <c:v>0.95971933471933468</c:v>
                </c:pt>
                <c:pt idx="74">
                  <c:v>0.96153846153846156</c:v>
                </c:pt>
                <c:pt idx="75">
                  <c:v>0.96330971659919029</c:v>
                </c:pt>
                <c:pt idx="76">
                  <c:v>0.965034965034965</c:v>
                </c:pt>
                <c:pt idx="77">
                  <c:v>0.96671597633136097</c:v>
                </c:pt>
                <c:pt idx="78">
                  <c:v>0.96835443037974689</c:v>
                </c:pt>
                <c:pt idx="79">
                  <c:v>0.96995192307692313</c:v>
                </c:pt>
                <c:pt idx="80">
                  <c:v>0.97150997150997154</c:v>
                </c:pt>
                <c:pt idx="81">
                  <c:v>0.97303001876172612</c:v>
                </c:pt>
                <c:pt idx="82">
                  <c:v>0.97451343836886006</c:v>
                </c:pt>
                <c:pt idx="83">
                  <c:v>0.97596153846153844</c:v>
                </c:pt>
                <c:pt idx="84">
                  <c:v>0.9773755656108597</c:v>
                </c:pt>
                <c:pt idx="85">
                  <c:v>0.97875670840787121</c:v>
                </c:pt>
                <c:pt idx="86">
                  <c:v>0.980106100795756</c:v>
                </c:pt>
                <c:pt idx="87">
                  <c:v>0.98142482517482521</c:v>
                </c:pt>
                <c:pt idx="88">
                  <c:v>0.98271391529818497</c:v>
                </c:pt>
                <c:pt idx="89">
                  <c:v>0.98397435897435903</c:v>
                </c:pt>
                <c:pt idx="90">
                  <c:v>0.98520710059171601</c:v>
                </c:pt>
                <c:pt idx="91">
                  <c:v>0.98641304347826086</c:v>
                </c:pt>
                <c:pt idx="92">
                  <c:v>0.98759305210918114</c:v>
                </c:pt>
                <c:pt idx="93">
                  <c:v>0.98874795417348604</c:v>
                </c:pt>
                <c:pt idx="94">
                  <c:v>0.98987854251012142</c:v>
                </c:pt>
                <c:pt idx="95">
                  <c:v>0.99098557692307687</c:v>
                </c:pt>
                <c:pt idx="96">
                  <c:v>0.9920697858842189</c:v>
                </c:pt>
                <c:pt idx="97">
                  <c:v>0.99313186813186816</c:v>
                </c:pt>
                <c:pt idx="98">
                  <c:v>0.9941724941724942</c:v>
                </c:pt>
                <c:pt idx="99">
                  <c:v>0.99519230769230771</c:v>
                </c:pt>
                <c:pt idx="100">
                  <c:v>0.99619192688499614</c:v>
                </c:pt>
                <c:pt idx="101">
                  <c:v>0.99717194570135748</c:v>
                </c:pt>
                <c:pt idx="102">
                  <c:v>0.99813293502613887</c:v>
                </c:pt>
                <c:pt idx="103">
                  <c:v>0.99907544378698221</c:v>
                </c:pt>
                <c:pt idx="10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64-4682-9D08-28DE50FE5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845760"/>
        <c:axId val="696844776"/>
      </c:lineChart>
      <c:catAx>
        <c:axId val="69684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844776"/>
        <c:crosses val="autoZero"/>
        <c:auto val="1"/>
        <c:lblAlgn val="ctr"/>
        <c:lblOffset val="100"/>
        <c:noMultiLvlLbl val="0"/>
      </c:catAx>
      <c:valAx>
        <c:axId val="696844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84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Champ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'Algorithm Data'!$AE$1:$AE$105</c:f>
              <c:numCache>
                <c:formatCode>General</c:formatCode>
                <c:ptCount val="105"/>
                <c:pt idx="0">
                  <c:v>1</c:v>
                </c:pt>
                <c:pt idx="1">
                  <c:v>0.49423076923076925</c:v>
                </c:pt>
                <c:pt idx="2">
                  <c:v>0.3249999999999999</c:v>
                </c:pt>
                <c:pt idx="3">
                  <c:v>0.23990384615384616</c:v>
                </c:pt>
                <c:pt idx="4">
                  <c:v>0.18846153846153846</c:v>
                </c:pt>
                <c:pt idx="5">
                  <c:v>0.15384615384615383</c:v>
                </c:pt>
                <c:pt idx="6">
                  <c:v>0.12884615384615383</c:v>
                </c:pt>
                <c:pt idx="7">
                  <c:v>0.10985576923076926</c:v>
                </c:pt>
                <c:pt idx="8">
                  <c:v>9.4871794871794896E-2</c:v>
                </c:pt>
                <c:pt idx="9">
                  <c:v>8.269230769230769E-2</c:v>
                </c:pt>
                <c:pt idx="10">
                  <c:v>7.2552447552447566E-2</c:v>
                </c:pt>
                <c:pt idx="11">
                  <c:v>6.3942307692307687E-2</c:v>
                </c:pt>
                <c:pt idx="12">
                  <c:v>5.6508875739644956E-2</c:v>
                </c:pt>
                <c:pt idx="13">
                  <c:v>0.05</c:v>
                </c:pt>
                <c:pt idx="14">
                  <c:v>4.4230769230769254E-2</c:v>
                </c:pt>
                <c:pt idx="15">
                  <c:v>3.90625E-2</c:v>
                </c:pt>
                <c:pt idx="16">
                  <c:v>3.4389140271493202E-2</c:v>
                </c:pt>
                <c:pt idx="17">
                  <c:v>3.0128205128205132E-2</c:v>
                </c:pt>
                <c:pt idx="18">
                  <c:v>2.6214574898785425E-2</c:v>
                </c:pt>
                <c:pt idx="19">
                  <c:v>2.2596153846153832E-2</c:v>
                </c:pt>
                <c:pt idx="20">
                  <c:v>1.9230769230769228E-2</c:v>
                </c:pt>
                <c:pt idx="21">
                  <c:v>1.6083916083916107E-2</c:v>
                </c:pt>
                <c:pt idx="22">
                  <c:v>1.3127090301003341E-2</c:v>
                </c:pt>
                <c:pt idx="23">
                  <c:v>1.0336538461538458E-2</c:v>
                </c:pt>
                <c:pt idx="24">
                  <c:v>7.6923076923076875E-3</c:v>
                </c:pt>
                <c:pt idx="25">
                  <c:v>5.177514792899407E-3</c:v>
                </c:pt>
                <c:pt idx="26">
                  <c:v>2.77777777777779E-3</c:v>
                </c:pt>
                <c:pt idx="27">
                  <c:v>4.8076923076922906E-4</c:v>
                </c:pt>
                <c:pt idx="28">
                  <c:v>1.7241379310344862E-2</c:v>
                </c:pt>
                <c:pt idx="29">
                  <c:v>3.8461538461538547E-2</c:v>
                </c:pt>
                <c:pt idx="30">
                  <c:v>5.8933002481389551E-2</c:v>
                </c:pt>
                <c:pt idx="31">
                  <c:v>7.8725961538461564E-2</c:v>
                </c:pt>
                <c:pt idx="32">
                  <c:v>9.7902097902097918E-2</c:v>
                </c:pt>
                <c:pt idx="33">
                  <c:v>0.11651583710407232</c:v>
                </c:pt>
                <c:pt idx="34">
                  <c:v>0.13461538461538447</c:v>
                </c:pt>
                <c:pt idx="35">
                  <c:v>0.15224358974358987</c:v>
                </c:pt>
                <c:pt idx="36">
                  <c:v>0.16943866943866948</c:v>
                </c:pt>
                <c:pt idx="37">
                  <c:v>0.18623481781376516</c:v>
                </c:pt>
                <c:pt idx="38">
                  <c:v>0.20266272189349122</c:v>
                </c:pt>
                <c:pt idx="39">
                  <c:v>0.21875</c:v>
                </c:pt>
                <c:pt idx="40">
                  <c:v>0.23452157598499057</c:v>
                </c:pt>
                <c:pt idx="41">
                  <c:v>0.25</c:v>
                </c:pt>
                <c:pt idx="42">
                  <c:v>0.26520572450805013</c:v>
                </c:pt>
                <c:pt idx="43">
                  <c:v>0.2801573426573426</c:v>
                </c:pt>
                <c:pt idx="44">
                  <c:v>0.29487179487179482</c:v>
                </c:pt>
                <c:pt idx="45">
                  <c:v>0.30936454849498329</c:v>
                </c:pt>
                <c:pt idx="46">
                  <c:v>0.32364975450081823</c:v>
                </c:pt>
                <c:pt idx="47">
                  <c:v>0.33774038461538458</c:v>
                </c:pt>
                <c:pt idx="48">
                  <c:v>0.35164835164835173</c:v>
                </c:pt>
                <c:pt idx="49">
                  <c:v>0.36538461538461542</c:v>
                </c:pt>
                <c:pt idx="50">
                  <c:v>0.37895927601809953</c:v>
                </c:pt>
                <c:pt idx="51">
                  <c:v>0.3923816568047338</c:v>
                </c:pt>
                <c:pt idx="52">
                  <c:v>0.40566037735849059</c:v>
                </c:pt>
                <c:pt idx="53">
                  <c:v>0.41880341880341887</c:v>
                </c:pt>
                <c:pt idx="54">
                  <c:v>0.43181818181818177</c:v>
                </c:pt>
                <c:pt idx="55">
                  <c:v>0.44471153846153844</c:v>
                </c:pt>
                <c:pt idx="56">
                  <c:v>0.45748987854251</c:v>
                </c:pt>
                <c:pt idx="57">
                  <c:v>0.47015915119363394</c:v>
                </c:pt>
                <c:pt idx="58">
                  <c:v>0.48272490221642761</c:v>
                </c:pt>
                <c:pt idx="59">
                  <c:v>0.4951923076923076</c:v>
                </c:pt>
                <c:pt idx="60">
                  <c:v>0.50756620428751575</c:v>
                </c:pt>
                <c:pt idx="61">
                  <c:v>0.51985111662531014</c:v>
                </c:pt>
                <c:pt idx="62">
                  <c:v>0.53205128205128194</c:v>
                </c:pt>
                <c:pt idx="63">
                  <c:v>0.54417067307692313</c:v>
                </c:pt>
                <c:pt idx="64">
                  <c:v>0.55621301775147924</c:v>
                </c:pt>
                <c:pt idx="65">
                  <c:v>0.56818181818181812</c:v>
                </c:pt>
                <c:pt idx="66">
                  <c:v>0.5800803673938002</c:v>
                </c:pt>
                <c:pt idx="67">
                  <c:v>0.59191176470588236</c:v>
                </c:pt>
                <c:pt idx="68">
                  <c:v>0.60367892976588633</c:v>
                </c:pt>
                <c:pt idx="69">
                  <c:v>0.61538461538461542</c:v>
                </c:pt>
                <c:pt idx="70">
                  <c:v>0.62703141928494044</c:v>
                </c:pt>
                <c:pt idx="71">
                  <c:v>0.63862179487179493</c:v>
                </c:pt>
                <c:pt idx="72">
                  <c:v>0.65015806111696517</c:v>
                </c:pt>
                <c:pt idx="73">
                  <c:v>0.66164241164241167</c:v>
                </c:pt>
                <c:pt idx="74">
                  <c:v>0.67307692307692313</c:v>
                </c:pt>
                <c:pt idx="75">
                  <c:v>0.68446356275303644</c:v>
                </c:pt>
                <c:pt idx="76">
                  <c:v>0.69580419580419584</c:v>
                </c:pt>
                <c:pt idx="77">
                  <c:v>0.70710059171597628</c:v>
                </c:pt>
                <c:pt idx="78">
                  <c:v>0.71835443037974689</c:v>
                </c:pt>
                <c:pt idx="79">
                  <c:v>0.72956730769230771</c:v>
                </c:pt>
                <c:pt idx="80">
                  <c:v>0.7407407407407407</c:v>
                </c:pt>
                <c:pt idx="81">
                  <c:v>0.75187617260787998</c:v>
                </c:pt>
                <c:pt idx="82">
                  <c:v>0.7629749768303985</c:v>
                </c:pt>
                <c:pt idx="83">
                  <c:v>0.77403846153846156</c:v>
                </c:pt>
                <c:pt idx="84">
                  <c:v>0.78506787330316741</c:v>
                </c:pt>
                <c:pt idx="85">
                  <c:v>0.7960644007155635</c:v>
                </c:pt>
                <c:pt idx="86">
                  <c:v>0.80702917771883287</c:v>
                </c:pt>
                <c:pt idx="87">
                  <c:v>0.81796328671328666</c:v>
                </c:pt>
                <c:pt idx="88">
                  <c:v>0.82886776145203112</c:v>
                </c:pt>
                <c:pt idx="89">
                  <c:v>0.83974358974358976</c:v>
                </c:pt>
                <c:pt idx="90">
                  <c:v>0.85059171597633132</c:v>
                </c:pt>
                <c:pt idx="91">
                  <c:v>0.86141304347826086</c:v>
                </c:pt>
                <c:pt idx="92">
                  <c:v>0.87220843672456572</c:v>
                </c:pt>
                <c:pt idx="93">
                  <c:v>0.88297872340425532</c:v>
                </c:pt>
                <c:pt idx="94">
                  <c:v>0.89372469635627527</c:v>
                </c:pt>
                <c:pt idx="95">
                  <c:v>0.90444711538461542</c:v>
                </c:pt>
                <c:pt idx="96">
                  <c:v>0.91514670896114192</c:v>
                </c:pt>
                <c:pt idx="97">
                  <c:v>0.92582417582417587</c:v>
                </c:pt>
                <c:pt idx="98">
                  <c:v>0.93648018648018649</c:v>
                </c:pt>
                <c:pt idx="99">
                  <c:v>0.94711538461538458</c:v>
                </c:pt>
                <c:pt idx="100">
                  <c:v>0.9577303884234577</c:v>
                </c:pt>
                <c:pt idx="101">
                  <c:v>0.96832579185520362</c:v>
                </c:pt>
                <c:pt idx="102">
                  <c:v>0.97890216579536971</c:v>
                </c:pt>
                <c:pt idx="103">
                  <c:v>0.98946005917159763</c:v>
                </c:pt>
                <c:pt idx="10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4-4614-9E98-38DF9FF0D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059304"/>
        <c:axId val="608057336"/>
      </c:lineChart>
      <c:catAx>
        <c:axId val="608059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057336"/>
        <c:crosses val="autoZero"/>
        <c:auto val="1"/>
        <c:lblAlgn val="ctr"/>
        <c:lblOffset val="100"/>
        <c:noMultiLvlLbl val="0"/>
      </c:catAx>
      <c:valAx>
        <c:axId val="60805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05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</xdr:colOff>
          <xdr:row>12</xdr:row>
          <xdr:rowOff>106680</xdr:rowOff>
        </xdr:from>
        <xdr:to>
          <xdr:col>13</xdr:col>
          <xdr:colOff>571500</xdr:colOff>
          <xdr:row>14</xdr:row>
          <xdr:rowOff>125730</xdr:rowOff>
        </xdr:to>
        <xdr:sp macro="" textlink="">
          <xdr:nvSpPr>
            <xdr:cNvPr id="1025" name="newgam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</xdr:colOff>
          <xdr:row>12</xdr:row>
          <xdr:rowOff>114300</xdr:rowOff>
        </xdr:from>
        <xdr:to>
          <xdr:col>15</xdr:col>
          <xdr:colOff>594360</xdr:colOff>
          <xdr:row>14</xdr:row>
          <xdr:rowOff>125730</xdr:rowOff>
        </xdr:to>
        <xdr:sp macro="" textlink="">
          <xdr:nvSpPr>
            <xdr:cNvPr id="1026" name="newgam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15</xdr:row>
          <xdr:rowOff>114300</xdr:rowOff>
        </xdr:from>
        <xdr:to>
          <xdr:col>13</xdr:col>
          <xdr:colOff>567690</xdr:colOff>
          <xdr:row>17</xdr:row>
          <xdr:rowOff>106680</xdr:rowOff>
        </xdr:to>
        <xdr:sp macro="" textlink="">
          <xdr:nvSpPr>
            <xdr:cNvPr id="1027" name="buttonDea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17</xdr:row>
          <xdr:rowOff>171450</xdr:rowOff>
        </xdr:from>
        <xdr:to>
          <xdr:col>13</xdr:col>
          <xdr:colOff>571500</xdr:colOff>
          <xdr:row>19</xdr:row>
          <xdr:rowOff>114300</xdr:rowOff>
        </xdr:to>
        <xdr:sp macro="" textlink="">
          <xdr:nvSpPr>
            <xdr:cNvPr id="1028" name="buttonStan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19</xdr:row>
          <xdr:rowOff>190500</xdr:rowOff>
        </xdr:from>
        <xdr:to>
          <xdr:col>13</xdr:col>
          <xdr:colOff>579120</xdr:colOff>
          <xdr:row>21</xdr:row>
          <xdr:rowOff>190500</xdr:rowOff>
        </xdr:to>
        <xdr:sp macro="" textlink="">
          <xdr:nvSpPr>
            <xdr:cNvPr id="1029" name="buttonHi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</xdr:colOff>
          <xdr:row>21</xdr:row>
          <xdr:rowOff>64770</xdr:rowOff>
        </xdr:from>
        <xdr:to>
          <xdr:col>15</xdr:col>
          <xdr:colOff>601980</xdr:colOff>
          <xdr:row>22</xdr:row>
          <xdr:rowOff>160020</xdr:rowOff>
        </xdr:to>
        <xdr:sp macro="" textlink="">
          <xdr:nvSpPr>
            <xdr:cNvPr id="1030" name="buttonRes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624840</xdr:colOff>
          <xdr:row>26</xdr:row>
          <xdr:rowOff>213360</xdr:rowOff>
        </xdr:from>
        <xdr:to>
          <xdr:col>15</xdr:col>
          <xdr:colOff>632460</xdr:colOff>
          <xdr:row>27</xdr:row>
          <xdr:rowOff>255270</xdr:rowOff>
        </xdr:to>
        <xdr:sp macro="" textlink="">
          <xdr:nvSpPr>
            <xdr:cNvPr id="1031" name="buttonResta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274320</xdr:colOff>
      <xdr:row>1</xdr:row>
      <xdr:rowOff>11430</xdr:rowOff>
    </xdr:from>
    <xdr:to>
      <xdr:col>4</xdr:col>
      <xdr:colOff>342900</xdr:colOff>
      <xdr:row>2</xdr:row>
      <xdr:rowOff>133350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54480" y="194310"/>
          <a:ext cx="1348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Choose</a:t>
          </a:r>
          <a:r>
            <a:rPr lang="en-US" sz="1100" baseline="0"/>
            <a:t> Game Mode</a:t>
          </a:r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320040</xdr:colOff>
      <xdr:row>3</xdr:row>
      <xdr:rowOff>76200</xdr:rowOff>
    </xdr:from>
    <xdr:to>
      <xdr:col>3</xdr:col>
      <xdr:colOff>320040</xdr:colOff>
      <xdr:row>5</xdr:row>
      <xdr:rowOff>102870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240280" y="624840"/>
          <a:ext cx="0" cy="3924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262890</xdr:colOff>
      <xdr:row>5</xdr:row>
      <xdr:rowOff>160020</xdr:rowOff>
    </xdr:from>
    <xdr:to>
      <xdr:col>4</xdr:col>
      <xdr:colOff>331470</xdr:colOff>
      <xdr:row>7</xdr:row>
      <xdr:rowOff>99060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43050" y="1074420"/>
          <a:ext cx="1348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Build Deck, Shuffle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316230</xdr:colOff>
      <xdr:row>8</xdr:row>
      <xdr:rowOff>22860</xdr:rowOff>
    </xdr:from>
    <xdr:to>
      <xdr:col>3</xdr:col>
      <xdr:colOff>316230</xdr:colOff>
      <xdr:row>10</xdr:row>
      <xdr:rowOff>49530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2236470" y="1485900"/>
          <a:ext cx="0" cy="3924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281940</xdr:colOff>
      <xdr:row>10</xdr:row>
      <xdr:rowOff>114300</xdr:rowOff>
    </xdr:from>
    <xdr:to>
      <xdr:col>4</xdr:col>
      <xdr:colOff>350520</xdr:colOff>
      <xdr:row>12</xdr:row>
      <xdr:rowOff>53340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562100" y="1943100"/>
          <a:ext cx="1348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Deal Cards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308610</xdr:colOff>
      <xdr:row>12</xdr:row>
      <xdr:rowOff>102870</xdr:rowOff>
    </xdr:from>
    <xdr:to>
      <xdr:col>3</xdr:col>
      <xdr:colOff>308610</xdr:colOff>
      <xdr:row>14</xdr:row>
      <xdr:rowOff>129540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2228850" y="2297430"/>
          <a:ext cx="0" cy="3924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278130</xdr:colOff>
      <xdr:row>15</xdr:row>
      <xdr:rowOff>26670</xdr:rowOff>
    </xdr:from>
    <xdr:to>
      <xdr:col>4</xdr:col>
      <xdr:colOff>346710</xdr:colOff>
      <xdr:row>16</xdr:row>
      <xdr:rowOff>148590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558290" y="2769870"/>
          <a:ext cx="1348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Check Totals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17</xdr:row>
      <xdr:rowOff>30480</xdr:rowOff>
    </xdr:from>
    <xdr:to>
      <xdr:col>3</xdr:col>
      <xdr:colOff>304800</xdr:colOff>
      <xdr:row>19</xdr:row>
      <xdr:rowOff>57150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25040" y="3139440"/>
          <a:ext cx="0" cy="3924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262890</xdr:colOff>
      <xdr:row>19</xdr:row>
      <xdr:rowOff>110490</xdr:rowOff>
    </xdr:from>
    <xdr:to>
      <xdr:col>4</xdr:col>
      <xdr:colOff>331470</xdr:colOff>
      <xdr:row>21</xdr:row>
      <xdr:rowOff>49530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543050" y="3585210"/>
          <a:ext cx="1348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Player Phase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17</xdr:row>
      <xdr:rowOff>30480</xdr:rowOff>
    </xdr:from>
    <xdr:to>
      <xdr:col>3</xdr:col>
      <xdr:colOff>304800</xdr:colOff>
      <xdr:row>19</xdr:row>
      <xdr:rowOff>57150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2225040" y="3139440"/>
          <a:ext cx="0" cy="3924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262890</xdr:colOff>
      <xdr:row>19</xdr:row>
      <xdr:rowOff>110490</xdr:rowOff>
    </xdr:from>
    <xdr:to>
      <xdr:col>4</xdr:col>
      <xdr:colOff>331470</xdr:colOff>
      <xdr:row>21</xdr:row>
      <xdr:rowOff>49530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543050" y="3585210"/>
          <a:ext cx="1348740" cy="30480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Player Phase</a:t>
          </a: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297180</xdr:colOff>
      <xdr:row>25</xdr:row>
      <xdr:rowOff>179070</xdr:rowOff>
    </xdr:from>
    <xdr:to>
      <xdr:col>3</xdr:col>
      <xdr:colOff>297180</xdr:colOff>
      <xdr:row>28</xdr:row>
      <xdr:rowOff>22860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2217420" y="4751070"/>
          <a:ext cx="0" cy="3924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297180</xdr:colOff>
      <xdr:row>28</xdr:row>
      <xdr:rowOff>72390</xdr:rowOff>
    </xdr:from>
    <xdr:to>
      <xdr:col>4</xdr:col>
      <xdr:colOff>365760</xdr:colOff>
      <xdr:row>29</xdr:row>
      <xdr:rowOff>163830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577340" y="5193030"/>
          <a:ext cx="1348740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Compare Results</a:t>
          </a:r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21</xdr:row>
      <xdr:rowOff>118110</xdr:rowOff>
    </xdr:from>
    <xdr:to>
      <xdr:col>3</xdr:col>
      <xdr:colOff>304800</xdr:colOff>
      <xdr:row>23</xdr:row>
      <xdr:rowOff>144780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2225040" y="3958590"/>
          <a:ext cx="0" cy="392430"/>
        </a:xfrm>
        <a:prstGeom prst="straightConnector1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289560</xdr:colOff>
      <xdr:row>24</xdr:row>
      <xdr:rowOff>19050</xdr:rowOff>
    </xdr:from>
    <xdr:to>
      <xdr:col>4</xdr:col>
      <xdr:colOff>358140</xdr:colOff>
      <xdr:row>25</xdr:row>
      <xdr:rowOff>140970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569720" y="4408170"/>
          <a:ext cx="1348740" cy="3048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Stand -&gt; AI Phase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4</xdr:col>
      <xdr:colOff>331470</xdr:colOff>
      <xdr:row>18</xdr:row>
      <xdr:rowOff>49530</xdr:rowOff>
    </xdr:from>
    <xdr:to>
      <xdr:col>5</xdr:col>
      <xdr:colOff>461010</xdr:colOff>
      <xdr:row>20</xdr:row>
      <xdr:rowOff>80010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>
          <a:stCxn id="13" idx="3"/>
          <a:endCxn id="19" idx="1"/>
        </xdr:cNvCxnSpPr>
      </xdr:nvCxnSpPr>
      <xdr:spPr>
        <a:xfrm flipV="1">
          <a:off x="2891790" y="3535680"/>
          <a:ext cx="769620" cy="419100"/>
        </a:xfrm>
        <a:prstGeom prst="straightConnector1">
          <a:avLst/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461010</xdr:colOff>
      <xdr:row>17</xdr:row>
      <xdr:rowOff>80010</xdr:rowOff>
    </xdr:from>
    <xdr:to>
      <xdr:col>6</xdr:col>
      <xdr:colOff>289560</xdr:colOff>
      <xdr:row>19</xdr:row>
      <xdr:rowOff>19050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3661410" y="3371850"/>
          <a:ext cx="468630" cy="32766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Hits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28575</xdr:colOff>
      <xdr:row>19</xdr:row>
      <xdr:rowOff>19050</xdr:rowOff>
    </xdr:from>
    <xdr:to>
      <xdr:col>6</xdr:col>
      <xdr:colOff>55245</xdr:colOff>
      <xdr:row>24</xdr:row>
      <xdr:rowOff>49530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>
          <a:stCxn id="19" idx="2"/>
          <a:endCxn id="30" idx="0"/>
        </xdr:cNvCxnSpPr>
      </xdr:nvCxnSpPr>
      <xdr:spPr>
        <a:xfrm flipH="1">
          <a:off x="3869055" y="3699510"/>
          <a:ext cx="26670" cy="1002030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358140</xdr:colOff>
      <xdr:row>24</xdr:row>
      <xdr:rowOff>171450</xdr:rowOff>
    </xdr:from>
    <xdr:to>
      <xdr:col>5</xdr:col>
      <xdr:colOff>392430</xdr:colOff>
      <xdr:row>25</xdr:row>
      <xdr:rowOff>3810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>
          <a:stCxn id="17" idx="3"/>
          <a:endCxn id="30" idx="1"/>
        </xdr:cNvCxnSpPr>
      </xdr:nvCxnSpPr>
      <xdr:spPr>
        <a:xfrm>
          <a:off x="2918460" y="4560570"/>
          <a:ext cx="674370" cy="152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441960</xdr:colOff>
      <xdr:row>29</xdr:row>
      <xdr:rowOff>34290</xdr:rowOff>
    </xdr:from>
    <xdr:to>
      <xdr:col>5</xdr:col>
      <xdr:colOff>41910</xdr:colOff>
      <xdr:row>29</xdr:row>
      <xdr:rowOff>34290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3002280" y="5337810"/>
          <a:ext cx="24003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106680</xdr:colOff>
      <xdr:row>28</xdr:row>
      <xdr:rowOff>80010</xdr:rowOff>
    </xdr:from>
    <xdr:to>
      <xdr:col>7</xdr:col>
      <xdr:colOff>175260</xdr:colOff>
      <xdr:row>29</xdr:row>
      <xdr:rowOff>171450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3307080" y="5200650"/>
          <a:ext cx="1348740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Game Ends</a:t>
          </a:r>
        </a:p>
        <a:p>
          <a:pPr algn="l"/>
          <a:endParaRPr lang="en-US" sz="1100"/>
        </a:p>
      </xdr:txBody>
    </xdr:sp>
    <xdr:clientData/>
  </xdr:twoCellAnchor>
  <xdr:twoCellAnchor>
    <xdr:from>
      <xdr:col>5</xdr:col>
      <xdr:colOff>392430</xdr:colOff>
      <xdr:row>24</xdr:row>
      <xdr:rowOff>49530</xdr:rowOff>
    </xdr:from>
    <xdr:to>
      <xdr:col>6</xdr:col>
      <xdr:colOff>304800</xdr:colOff>
      <xdr:row>25</xdr:row>
      <xdr:rowOff>140970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3592830" y="4438650"/>
          <a:ext cx="552450" cy="27432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Busts</a:t>
          </a:r>
        </a:p>
        <a:p>
          <a:pPr algn="l"/>
          <a:endParaRPr lang="en-US" sz="1100"/>
        </a:p>
      </xdr:txBody>
    </xdr:sp>
    <xdr:clientData/>
  </xdr:twoCellAnchor>
  <xdr:twoCellAnchor>
    <xdr:from>
      <xdr:col>6</xdr:col>
      <xdr:colOff>19050</xdr:colOff>
      <xdr:row>26</xdr:row>
      <xdr:rowOff>38100</xdr:rowOff>
    </xdr:from>
    <xdr:to>
      <xdr:col>6</xdr:col>
      <xdr:colOff>19050</xdr:colOff>
      <xdr:row>27</xdr:row>
      <xdr:rowOff>179070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>
          <a:off x="3859530" y="4792980"/>
          <a:ext cx="0" cy="3238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480060</xdr:colOff>
      <xdr:row>21</xdr:row>
      <xdr:rowOff>53340</xdr:rowOff>
    </xdr:from>
    <xdr:to>
      <xdr:col>5</xdr:col>
      <xdr:colOff>483870</xdr:colOff>
      <xdr:row>22</xdr:row>
      <xdr:rowOff>175260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3040380" y="4122420"/>
          <a:ext cx="643890" cy="31623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No</a:t>
          </a:r>
          <a:r>
            <a:rPr lang="en-US" sz="1100" baseline="0"/>
            <a:t> </a:t>
          </a:r>
          <a:r>
            <a:rPr lang="en-US" sz="1100" baseline="0">
              <a:solidFill>
                <a:sysClr val="windowText" lastClr="000000"/>
              </a:solidFill>
            </a:rPr>
            <a:t>Bust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483870</xdr:colOff>
      <xdr:row>19</xdr:row>
      <xdr:rowOff>19050</xdr:rowOff>
    </xdr:from>
    <xdr:to>
      <xdr:col>6</xdr:col>
      <xdr:colOff>55245</xdr:colOff>
      <xdr:row>22</xdr:row>
      <xdr:rowOff>17145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>
          <a:stCxn id="19" idx="2"/>
          <a:endCxn id="35" idx="3"/>
        </xdr:cNvCxnSpPr>
      </xdr:nvCxnSpPr>
      <xdr:spPr>
        <a:xfrm flipH="1">
          <a:off x="3684270" y="3699510"/>
          <a:ext cx="211455" cy="5810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22</xdr:row>
      <xdr:rowOff>17145</xdr:rowOff>
    </xdr:from>
    <xdr:to>
      <xdr:col>4</xdr:col>
      <xdr:colOff>480060</xdr:colOff>
      <xdr:row>24</xdr:row>
      <xdr:rowOff>19050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>
          <a:stCxn id="35" idx="1"/>
          <a:endCxn id="17" idx="0"/>
        </xdr:cNvCxnSpPr>
      </xdr:nvCxnSpPr>
      <xdr:spPr>
        <a:xfrm flipH="1">
          <a:off x="2244090" y="4280535"/>
          <a:ext cx="796290" cy="3905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350520</xdr:colOff>
      <xdr:row>11</xdr:row>
      <xdr:rowOff>83820</xdr:rowOff>
    </xdr:from>
    <xdr:to>
      <xdr:col>7</xdr:col>
      <xdr:colOff>175260</xdr:colOff>
      <xdr:row>29</xdr:row>
      <xdr:rowOff>34290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CxnSpPr>
          <a:stCxn id="26" idx="3"/>
          <a:endCxn id="7" idx="3"/>
        </xdr:cNvCxnSpPr>
      </xdr:nvCxnSpPr>
      <xdr:spPr>
        <a:xfrm flipH="1" flipV="1">
          <a:off x="2910840" y="2095500"/>
          <a:ext cx="1744980" cy="3242310"/>
        </a:xfrm>
        <a:prstGeom prst="bentConnector3">
          <a:avLst>
            <a:gd name="adj1" fmla="val -131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</xdr:row>
      <xdr:rowOff>163830</xdr:rowOff>
    </xdr:from>
    <xdr:to>
      <xdr:col>7</xdr:col>
      <xdr:colOff>175260</xdr:colOff>
      <xdr:row>29</xdr:row>
      <xdr:rowOff>34290</xdr:rowOff>
    </xdr:to>
    <xdr:cxnSp macro="">
      <xdr:nvCxnSpPr>
        <xdr:cNvPr id="61" name="Connector: Elbow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>
          <a:stCxn id="26" idx="3"/>
          <a:endCxn id="2" idx="3"/>
        </xdr:cNvCxnSpPr>
      </xdr:nvCxnSpPr>
      <xdr:spPr>
        <a:xfrm flipH="1" flipV="1">
          <a:off x="2903220" y="346710"/>
          <a:ext cx="1752600" cy="4991100"/>
        </a:xfrm>
        <a:prstGeom prst="bentConnector3">
          <a:avLst>
            <a:gd name="adj1" fmla="val -13043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18</xdr:row>
      <xdr:rowOff>49530</xdr:rowOff>
    </xdr:from>
    <xdr:to>
      <xdr:col>5</xdr:col>
      <xdr:colOff>461010</xdr:colOff>
      <xdr:row>21</xdr:row>
      <xdr:rowOff>53340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CxnSpPr>
          <a:stCxn id="35" idx="0"/>
          <a:endCxn id="19" idx="1"/>
        </xdr:cNvCxnSpPr>
      </xdr:nvCxnSpPr>
      <xdr:spPr>
        <a:xfrm flipV="1">
          <a:off x="3362325" y="3535680"/>
          <a:ext cx="299085" cy="586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15239</xdr:rowOff>
    </xdr:from>
    <xdr:to>
      <xdr:col>10</xdr:col>
      <xdr:colOff>182880</xdr:colOff>
      <xdr:row>11</xdr:row>
      <xdr:rowOff>20954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53340</xdr:colOff>
      <xdr:row>10</xdr:row>
      <xdr:rowOff>144779</xdr:rowOff>
    </xdr:from>
    <xdr:to>
      <xdr:col>10</xdr:col>
      <xdr:colOff>194310</xdr:colOff>
      <xdr:row>21</xdr:row>
      <xdr:rowOff>140970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49530</xdr:colOff>
      <xdr:row>21</xdr:row>
      <xdr:rowOff>78105</xdr:rowOff>
    </xdr:from>
    <xdr:to>
      <xdr:col>10</xdr:col>
      <xdr:colOff>205740</xdr:colOff>
      <xdr:row>32</xdr:row>
      <xdr:rowOff>72390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30"/>
  <sheetViews>
    <sheetView showGridLines="0" showRowColHeaders="0" tabSelected="1" zoomScaleNormal="100" workbookViewId="0">
      <selection activeCell="O4" sqref="O4"/>
    </sheetView>
  </sheetViews>
  <sheetFormatPr defaultColWidth="8.83984375" defaultRowHeight="15.6" x14ac:dyDescent="0.6"/>
  <cols>
    <col min="1" max="1" width="8.83984375" style="1" customWidth="1"/>
    <col min="2" max="2" width="8.83984375" style="1"/>
    <col min="3" max="3" width="13" style="1" customWidth="1"/>
    <col min="4" max="4" width="4.68359375" style="7" customWidth="1"/>
    <col min="5" max="5" width="13" style="1" customWidth="1"/>
    <col min="6" max="6" width="4.68359375" style="7" customWidth="1"/>
    <col min="7" max="7" width="13" style="1" customWidth="1"/>
    <col min="8" max="8" width="4.68359375" style="7" customWidth="1"/>
    <col min="9" max="9" width="13" style="1" customWidth="1"/>
    <col min="10" max="10" width="4.68359375" style="7" customWidth="1"/>
    <col min="11" max="11" width="13" style="1" customWidth="1"/>
    <col min="12" max="12" width="4.68359375" style="5" customWidth="1"/>
    <col min="13" max="17" width="8.83984375" style="1"/>
    <col min="18" max="18" width="13" style="1" customWidth="1"/>
    <col min="19" max="16384" width="8.83984375" style="1"/>
  </cols>
  <sheetData>
    <row r="1" spans="1:22" ht="15.6" customHeight="1" x14ac:dyDescent="0.6">
      <c r="A1" s="42" t="s">
        <v>0</v>
      </c>
      <c r="B1" s="42"/>
      <c r="C1" s="2"/>
      <c r="D1" s="6"/>
      <c r="E1" s="2"/>
      <c r="F1" s="6"/>
      <c r="G1" s="2"/>
      <c r="H1" s="8"/>
      <c r="I1" s="8"/>
      <c r="J1" s="6"/>
      <c r="K1" s="2"/>
      <c r="L1" s="2"/>
      <c r="M1" s="41" t="s">
        <v>10</v>
      </c>
      <c r="N1" s="41"/>
      <c r="O1" s="41"/>
      <c r="P1" s="41"/>
      <c r="Q1" s="5"/>
      <c r="R1" s="5"/>
      <c r="S1" s="5"/>
      <c r="T1" s="5"/>
      <c r="U1" s="5"/>
      <c r="V1" s="5"/>
    </row>
    <row r="2" spans="1:22" ht="15.6" customHeight="1" x14ac:dyDescent="0.6">
      <c r="A2" s="42"/>
      <c r="B2" s="42"/>
      <c r="C2" s="2"/>
      <c r="D2" s="6"/>
      <c r="E2" s="2"/>
      <c r="F2" s="6"/>
      <c r="G2" s="2"/>
      <c r="H2" s="8"/>
      <c r="I2" s="8"/>
      <c r="J2" s="6"/>
      <c r="K2" s="2"/>
      <c r="L2" s="2"/>
      <c r="M2" s="41"/>
      <c r="N2" s="41"/>
      <c r="O2" s="41"/>
      <c r="P2" s="41"/>
      <c r="Q2" s="5"/>
      <c r="R2" s="5"/>
      <c r="S2" s="5"/>
      <c r="T2" s="5"/>
      <c r="U2" s="5"/>
      <c r="V2" s="5"/>
    </row>
    <row r="3" spans="1:22" ht="15.6" customHeight="1" x14ac:dyDescent="0.65">
      <c r="A3" s="9"/>
      <c r="B3" s="9"/>
      <c r="C3" s="2"/>
      <c r="D3" s="6"/>
      <c r="E3" s="2"/>
      <c r="F3" s="6"/>
      <c r="G3" s="2"/>
      <c r="H3" s="8"/>
      <c r="I3" s="8"/>
      <c r="J3" s="6"/>
      <c r="K3" s="2"/>
      <c r="L3" s="2"/>
      <c r="M3" s="27" t="s">
        <v>11</v>
      </c>
      <c r="N3" s="27"/>
      <c r="O3" s="12"/>
      <c r="P3" s="12"/>
      <c r="Q3" s="5"/>
      <c r="R3" s="5"/>
      <c r="S3" s="5"/>
      <c r="T3" s="5"/>
      <c r="U3" s="5"/>
      <c r="V3" s="5"/>
    </row>
    <row r="4" spans="1:22" ht="15.6" customHeight="1" x14ac:dyDescent="0.65">
      <c r="A4" s="2"/>
      <c r="B4" s="2"/>
      <c r="C4" s="2"/>
      <c r="D4" s="6"/>
      <c r="E4" s="2"/>
      <c r="F4" s="6"/>
      <c r="G4" s="2"/>
      <c r="H4" s="8"/>
      <c r="I4" s="8"/>
      <c r="J4" s="6"/>
      <c r="K4" s="2"/>
      <c r="L4" s="2"/>
      <c r="M4" s="27"/>
      <c r="N4" s="27"/>
      <c r="O4" s="19">
        <v>1</v>
      </c>
      <c r="P4" s="19"/>
      <c r="Q4" s="5"/>
      <c r="R4" s="5"/>
      <c r="S4" s="5"/>
      <c r="T4" s="5"/>
      <c r="U4" s="5"/>
      <c r="V4" s="5"/>
    </row>
    <row r="5" spans="1:22" ht="15.6" customHeight="1" x14ac:dyDescent="0.65">
      <c r="A5" s="2"/>
      <c r="B5" s="2"/>
      <c r="C5" s="33"/>
      <c r="D5" s="6"/>
      <c r="E5" s="33"/>
      <c r="F5" s="6"/>
      <c r="G5" s="33"/>
      <c r="H5" s="8"/>
      <c r="I5" s="33"/>
      <c r="J5" s="6"/>
      <c r="K5" s="33"/>
      <c r="L5" s="2"/>
      <c r="M5" s="17"/>
      <c r="N5" s="17"/>
      <c r="O5" s="14"/>
      <c r="P5" s="14"/>
      <c r="Q5" s="5"/>
      <c r="R5" s="5"/>
      <c r="S5" s="5"/>
      <c r="T5" s="5"/>
      <c r="U5" s="5"/>
      <c r="V5" s="5"/>
    </row>
    <row r="6" spans="1:22" ht="15.6" customHeight="1" x14ac:dyDescent="0.75">
      <c r="A6" s="35" t="s">
        <v>6</v>
      </c>
      <c r="B6" s="35"/>
      <c r="C6" s="33"/>
      <c r="D6" s="6"/>
      <c r="E6" s="33"/>
      <c r="F6" s="6"/>
      <c r="G6" s="33"/>
      <c r="H6" s="8"/>
      <c r="I6" s="33"/>
      <c r="J6" s="6"/>
      <c r="K6" s="33"/>
      <c r="L6" s="2"/>
      <c r="M6" s="27" t="s">
        <v>2</v>
      </c>
      <c r="N6" s="27"/>
      <c r="O6" s="12"/>
      <c r="P6" s="12"/>
      <c r="Q6" s="5"/>
      <c r="R6" s="5"/>
      <c r="S6" s="5"/>
      <c r="T6" s="5"/>
      <c r="U6" s="5"/>
      <c r="V6" s="5"/>
    </row>
    <row r="7" spans="1:22" ht="15.6" customHeight="1" x14ac:dyDescent="0.65">
      <c r="A7" s="2"/>
      <c r="B7" s="2"/>
      <c r="C7" s="33"/>
      <c r="D7" s="6"/>
      <c r="E7" s="33"/>
      <c r="F7" s="6"/>
      <c r="G7" s="33"/>
      <c r="H7" s="8"/>
      <c r="I7" s="33"/>
      <c r="J7" s="6"/>
      <c r="K7" s="33"/>
      <c r="L7" s="2"/>
      <c r="M7" s="27"/>
      <c r="N7" s="27"/>
      <c r="O7" s="16">
        <v>52</v>
      </c>
      <c r="P7" s="12"/>
      <c r="Q7" s="5"/>
      <c r="R7" s="5"/>
      <c r="S7" s="5"/>
      <c r="T7" s="5"/>
      <c r="U7" s="5"/>
      <c r="V7" s="5"/>
    </row>
    <row r="8" spans="1:22" ht="15.6" customHeight="1" x14ac:dyDescent="0.85">
      <c r="A8" s="36">
        <v>0</v>
      </c>
      <c r="B8" s="36"/>
      <c r="C8" s="33"/>
      <c r="D8" s="6"/>
      <c r="E8" s="33"/>
      <c r="F8" s="6"/>
      <c r="G8" s="33"/>
      <c r="H8" s="8"/>
      <c r="I8" s="33"/>
      <c r="J8" s="6"/>
      <c r="K8" s="33"/>
      <c r="L8" s="2"/>
      <c r="M8" s="12"/>
      <c r="N8" s="12"/>
      <c r="O8" s="12"/>
      <c r="P8" s="12"/>
      <c r="Q8" s="5"/>
      <c r="R8" s="5"/>
      <c r="S8" s="5"/>
      <c r="T8" s="5"/>
      <c r="U8" s="5"/>
      <c r="V8" s="5"/>
    </row>
    <row r="9" spans="1:22" ht="15.6" customHeight="1" x14ac:dyDescent="0.65">
      <c r="A9" s="2"/>
      <c r="B9" s="2"/>
      <c r="C9" s="33"/>
      <c r="D9" s="6"/>
      <c r="E9" s="33"/>
      <c r="F9" s="6"/>
      <c r="G9" s="33"/>
      <c r="H9" s="8"/>
      <c r="I9" s="33"/>
      <c r="J9" s="6"/>
      <c r="K9" s="33"/>
      <c r="L9" s="2"/>
      <c r="M9" s="40" t="s">
        <v>7</v>
      </c>
      <c r="N9" s="40"/>
      <c r="O9" s="18">
        <v>1</v>
      </c>
      <c r="P9" s="18"/>
      <c r="Q9" s="5"/>
      <c r="R9" s="5"/>
      <c r="S9" s="5"/>
      <c r="T9" s="5"/>
      <c r="U9" s="5"/>
      <c r="V9" s="5"/>
    </row>
    <row r="10" spans="1:22" ht="15.6" customHeight="1" x14ac:dyDescent="0.6">
      <c r="A10" s="2"/>
      <c r="B10" s="2"/>
      <c r="C10" s="33"/>
      <c r="D10" s="6"/>
      <c r="E10" s="33"/>
      <c r="F10" s="6"/>
      <c r="G10" s="33"/>
      <c r="H10" s="8"/>
      <c r="I10" s="33"/>
      <c r="J10" s="6"/>
      <c r="K10" s="33"/>
      <c r="L10" s="2"/>
      <c r="M10" s="12"/>
      <c r="N10" s="12"/>
      <c r="O10" s="12"/>
      <c r="P10" s="12"/>
      <c r="Q10" s="5"/>
      <c r="R10" s="5"/>
      <c r="S10" s="5"/>
      <c r="T10" s="5"/>
      <c r="U10" s="5"/>
      <c r="V10" s="5"/>
    </row>
    <row r="11" spans="1:22" ht="15.6" customHeight="1" x14ac:dyDescent="0.65">
      <c r="A11" s="4"/>
      <c r="B11" s="4"/>
      <c r="C11" s="2"/>
      <c r="D11" s="6"/>
      <c r="E11" s="2"/>
      <c r="F11" s="6"/>
      <c r="G11" s="2"/>
      <c r="H11" s="8"/>
      <c r="I11" s="8"/>
      <c r="J11" s="6"/>
      <c r="K11" s="2"/>
      <c r="L11" s="2"/>
      <c r="M11" s="38" t="s">
        <v>3</v>
      </c>
      <c r="N11" s="38"/>
      <c r="O11" s="38"/>
      <c r="P11" s="38"/>
      <c r="Q11" s="5"/>
      <c r="R11" s="5"/>
      <c r="S11" s="5"/>
      <c r="T11" s="5"/>
      <c r="U11" s="5"/>
      <c r="V11" s="5"/>
    </row>
    <row r="12" spans="1:22" ht="15.6" customHeight="1" x14ac:dyDescent="0.65">
      <c r="A12" s="4"/>
      <c r="B12" s="4"/>
      <c r="C12" s="2"/>
      <c r="D12" s="6"/>
      <c r="E12" s="2"/>
      <c r="F12" s="6"/>
      <c r="G12" s="2"/>
      <c r="H12" s="8"/>
      <c r="I12" s="8"/>
      <c r="J12" s="6"/>
      <c r="K12" s="2"/>
      <c r="L12" s="2"/>
      <c r="M12" s="38"/>
      <c r="N12" s="38"/>
      <c r="O12" s="38"/>
      <c r="P12" s="38"/>
      <c r="Q12" s="5"/>
      <c r="R12" s="5"/>
      <c r="S12" s="5"/>
      <c r="T12" s="5"/>
      <c r="U12" s="5"/>
      <c r="V12" s="5"/>
    </row>
    <row r="13" spans="1:22" x14ac:dyDescent="0.6">
      <c r="A13" s="37" t="s">
        <v>1</v>
      </c>
      <c r="B13" s="37"/>
      <c r="C13" s="2"/>
      <c r="D13" s="6"/>
      <c r="E13" s="2"/>
      <c r="F13" s="6"/>
      <c r="G13" s="2"/>
      <c r="H13" s="8"/>
      <c r="I13" s="8"/>
      <c r="J13" s="6"/>
      <c r="K13" s="2"/>
      <c r="L13" s="2"/>
      <c r="M13" s="3"/>
      <c r="N13" s="3"/>
      <c r="O13" s="3"/>
      <c r="P13" s="3"/>
      <c r="Q13" s="5"/>
      <c r="R13" s="5"/>
      <c r="S13" s="5"/>
      <c r="T13" s="5"/>
      <c r="U13" s="5"/>
      <c r="V13" s="5"/>
    </row>
    <row r="14" spans="1:22" x14ac:dyDescent="0.6">
      <c r="A14" s="37"/>
      <c r="B14" s="37"/>
      <c r="C14" s="2"/>
      <c r="D14" s="6"/>
      <c r="E14" s="2"/>
      <c r="F14" s="6"/>
      <c r="G14" s="2"/>
      <c r="H14" s="8"/>
      <c r="I14" s="8"/>
      <c r="J14" s="6"/>
      <c r="K14" s="2"/>
      <c r="L14" s="2"/>
      <c r="M14" s="3"/>
      <c r="N14" s="3"/>
      <c r="O14" s="3"/>
      <c r="P14" s="3"/>
      <c r="Q14" s="5"/>
      <c r="R14" s="5"/>
      <c r="S14" s="5"/>
      <c r="T14" s="5"/>
      <c r="U14" s="5"/>
      <c r="V14" s="5"/>
    </row>
    <row r="15" spans="1:22" x14ac:dyDescent="0.6">
      <c r="A15" s="2"/>
      <c r="B15" s="2"/>
      <c r="C15" s="2"/>
      <c r="D15" s="6"/>
      <c r="E15" s="2"/>
      <c r="F15" s="6"/>
      <c r="G15" s="2"/>
      <c r="H15" s="8"/>
      <c r="I15" s="8"/>
      <c r="J15" s="6"/>
      <c r="K15" s="2"/>
      <c r="L15" s="2"/>
      <c r="M15" s="3"/>
      <c r="N15" s="3"/>
      <c r="O15" s="3"/>
      <c r="P15" s="3"/>
      <c r="Q15" s="5"/>
      <c r="R15" s="5"/>
      <c r="S15" s="5"/>
      <c r="T15" s="5"/>
      <c r="U15" s="5"/>
      <c r="V15" s="5"/>
    </row>
    <row r="16" spans="1:22" ht="15.9" x14ac:dyDescent="0.6">
      <c r="A16" s="2"/>
      <c r="B16" s="2"/>
      <c r="C16" s="33"/>
      <c r="D16" s="6"/>
      <c r="E16" s="33"/>
      <c r="F16" s="6"/>
      <c r="G16" s="33"/>
      <c r="H16" s="8"/>
      <c r="I16" s="33"/>
      <c r="J16" s="6"/>
      <c r="K16" s="33"/>
      <c r="L16" s="2"/>
      <c r="M16" s="10"/>
      <c r="N16" s="10"/>
      <c r="O16" s="31" t="s">
        <v>12</v>
      </c>
      <c r="P16" s="31"/>
      <c r="Q16" s="5"/>
      <c r="R16" s="5"/>
      <c r="S16" s="5"/>
      <c r="T16" s="5"/>
      <c r="U16" s="5"/>
      <c r="V16" s="5"/>
    </row>
    <row r="17" spans="1:23" ht="18.600000000000001" x14ac:dyDescent="0.75">
      <c r="A17" s="35" t="s">
        <v>5</v>
      </c>
      <c r="B17" s="35"/>
      <c r="C17" s="34"/>
      <c r="D17" s="6"/>
      <c r="E17" s="34"/>
      <c r="F17" s="6"/>
      <c r="G17" s="34"/>
      <c r="H17" s="6"/>
      <c r="I17" s="34"/>
      <c r="J17" s="6"/>
      <c r="K17" s="34"/>
      <c r="L17" s="2"/>
      <c r="M17" s="10"/>
      <c r="N17" s="10"/>
      <c r="O17" s="28">
        <v>0</v>
      </c>
      <c r="P17" s="29"/>
      <c r="Q17" s="5"/>
      <c r="R17" s="5"/>
      <c r="S17" s="5"/>
      <c r="T17" s="5"/>
      <c r="U17" s="5"/>
      <c r="V17" s="5"/>
    </row>
    <row r="18" spans="1:23" ht="15.9" x14ac:dyDescent="0.6">
      <c r="A18" s="11"/>
      <c r="B18" s="11"/>
      <c r="C18" s="34"/>
      <c r="D18" s="6"/>
      <c r="E18" s="34"/>
      <c r="F18" s="6"/>
      <c r="G18" s="34"/>
      <c r="H18" s="6"/>
      <c r="I18" s="34"/>
      <c r="J18" s="6"/>
      <c r="K18" s="34"/>
      <c r="L18" s="2"/>
      <c r="M18" s="10"/>
      <c r="N18" s="10"/>
      <c r="O18" s="31" t="s">
        <v>13</v>
      </c>
      <c r="P18" s="31"/>
      <c r="Q18" s="5"/>
      <c r="R18" s="5"/>
      <c r="S18" s="5"/>
      <c r="T18" s="5"/>
      <c r="U18" s="5"/>
      <c r="V18" s="5"/>
    </row>
    <row r="19" spans="1:23" ht="21" x14ac:dyDescent="0.85">
      <c r="A19" s="36">
        <v>0</v>
      </c>
      <c r="B19" s="36"/>
      <c r="C19" s="34"/>
      <c r="D19" s="6"/>
      <c r="E19" s="34"/>
      <c r="F19" s="6"/>
      <c r="G19" s="34"/>
      <c r="H19" s="6"/>
      <c r="I19" s="34"/>
      <c r="J19" s="6"/>
      <c r="K19" s="34"/>
      <c r="L19" s="2"/>
      <c r="M19" s="10"/>
      <c r="N19" s="10"/>
      <c r="O19" s="29">
        <v>0</v>
      </c>
      <c r="P19" s="29"/>
      <c r="Q19" s="5"/>
      <c r="R19" s="5"/>
      <c r="S19" s="5"/>
      <c r="T19" s="5"/>
      <c r="U19" s="5"/>
      <c r="V19" s="5"/>
    </row>
    <row r="20" spans="1:23" ht="15.9" x14ac:dyDescent="0.65">
      <c r="A20" s="2"/>
      <c r="B20" s="2"/>
      <c r="C20" s="34"/>
      <c r="D20" s="6"/>
      <c r="E20" s="34"/>
      <c r="F20" s="6"/>
      <c r="G20" s="34"/>
      <c r="H20" s="6"/>
      <c r="I20" s="34"/>
      <c r="J20" s="6"/>
      <c r="K20" s="34"/>
      <c r="L20" s="2"/>
      <c r="M20" s="10"/>
      <c r="N20" s="10"/>
      <c r="O20" s="32" t="s">
        <v>14</v>
      </c>
      <c r="P20" s="32"/>
      <c r="Q20" s="5"/>
      <c r="R20" s="5"/>
      <c r="S20" s="5"/>
      <c r="T20" s="5"/>
      <c r="U20" s="5"/>
      <c r="V20" s="5"/>
    </row>
    <row r="21" spans="1:23" ht="15.9" x14ac:dyDescent="0.65">
      <c r="A21" s="2"/>
      <c r="B21" s="2"/>
      <c r="C21" s="34"/>
      <c r="D21" s="6"/>
      <c r="E21" s="34"/>
      <c r="F21" s="6"/>
      <c r="G21" s="34"/>
      <c r="H21" s="6"/>
      <c r="I21" s="34"/>
      <c r="J21" s="6"/>
      <c r="K21" s="34"/>
      <c r="L21" s="2"/>
      <c r="M21" s="10"/>
      <c r="N21" s="10"/>
      <c r="O21" s="30">
        <v>0</v>
      </c>
      <c r="P21" s="30"/>
      <c r="Q21" s="5"/>
      <c r="R21" s="5"/>
      <c r="S21" s="5"/>
      <c r="T21" s="5"/>
      <c r="U21" s="5"/>
      <c r="V21" s="5"/>
    </row>
    <row r="22" spans="1:23" x14ac:dyDescent="0.6">
      <c r="A22" s="2"/>
      <c r="B22" s="2"/>
      <c r="C22" s="2"/>
      <c r="D22" s="6"/>
      <c r="E22" s="2"/>
      <c r="F22" s="6"/>
      <c r="G22" s="2"/>
      <c r="H22" s="6"/>
      <c r="I22" s="2"/>
      <c r="J22" s="6"/>
      <c r="K22" s="2"/>
      <c r="L22" s="2"/>
      <c r="M22" s="10"/>
      <c r="N22" s="10"/>
      <c r="O22" s="13"/>
      <c r="P22" s="13"/>
      <c r="Q22" s="5"/>
      <c r="R22" s="5"/>
      <c r="S22" s="5"/>
      <c r="T22" s="5"/>
      <c r="U22" s="5"/>
      <c r="V22" s="5"/>
    </row>
    <row r="23" spans="1:23" x14ac:dyDescent="0.6">
      <c r="A23" s="2"/>
      <c r="B23" s="2"/>
      <c r="C23" s="2"/>
      <c r="D23" s="6"/>
      <c r="E23" s="2"/>
      <c r="F23" s="6"/>
      <c r="G23" s="2"/>
      <c r="H23" s="6"/>
      <c r="I23" s="2"/>
      <c r="J23" s="6"/>
      <c r="K23" s="2"/>
      <c r="L23" s="2"/>
      <c r="M23" s="10"/>
      <c r="N23" s="10"/>
      <c r="O23" s="13"/>
      <c r="P23" s="13"/>
      <c r="Q23" s="5"/>
      <c r="R23" s="5"/>
      <c r="S23" s="5"/>
      <c r="T23" s="5"/>
      <c r="U23" s="5"/>
      <c r="V23" s="5"/>
    </row>
    <row r="24" spans="1:23" ht="30.9" x14ac:dyDescent="0.6">
      <c r="A24" s="39" t="s">
        <v>4</v>
      </c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5"/>
      <c r="R24" s="5"/>
      <c r="S24" s="5"/>
      <c r="T24" s="5"/>
      <c r="U24" s="5"/>
      <c r="V24" s="5"/>
    </row>
    <row r="25" spans="1:23" ht="20.7" x14ac:dyDescent="0.8">
      <c r="A25" s="26" t="s">
        <v>16</v>
      </c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5"/>
      <c r="R25" s="5"/>
      <c r="S25" s="5"/>
      <c r="T25" s="5"/>
      <c r="U25" s="5"/>
      <c r="V25" s="5"/>
    </row>
    <row r="26" spans="1:23" ht="20.7" x14ac:dyDescent="0.8">
      <c r="A26" s="26" t="s">
        <v>8</v>
      </c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5"/>
      <c r="R26" s="5"/>
      <c r="S26" s="5"/>
      <c r="T26" s="5"/>
      <c r="U26" s="5"/>
      <c r="V26" s="5"/>
    </row>
    <row r="27" spans="1:23" ht="20.7" x14ac:dyDescent="0.8">
      <c r="A27" s="26" t="s">
        <v>9</v>
      </c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5"/>
      <c r="R27" s="5"/>
      <c r="S27" s="5"/>
      <c r="T27" s="5"/>
      <c r="U27" s="5"/>
      <c r="V27" s="5"/>
    </row>
    <row r="28" spans="1:23" ht="20.7" x14ac:dyDescent="0.8">
      <c r="A28" s="26" t="s">
        <v>15</v>
      </c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15"/>
      <c r="P28" s="15"/>
      <c r="Q28" s="5"/>
      <c r="R28" s="5"/>
      <c r="S28" s="5"/>
      <c r="T28" s="5"/>
      <c r="U28" s="5"/>
      <c r="V28" s="5"/>
    </row>
    <row r="29" spans="1:23" x14ac:dyDescent="0.6">
      <c r="A29" s="5"/>
      <c r="B29" s="5"/>
      <c r="C29" s="5"/>
      <c r="E29" s="5"/>
      <c r="G29" s="5"/>
      <c r="I29" s="5"/>
      <c r="K29" s="5"/>
      <c r="M29" s="7"/>
      <c r="N29" s="7"/>
      <c r="O29" s="7"/>
      <c r="P29" s="7"/>
      <c r="Q29" s="5"/>
      <c r="R29" s="5"/>
      <c r="S29" s="5"/>
      <c r="T29" s="5"/>
      <c r="U29" s="5"/>
      <c r="V29" s="5"/>
      <c r="W29" s="5"/>
    </row>
    <row r="30" spans="1:23" x14ac:dyDescent="0.6">
      <c r="A30" s="5"/>
      <c r="B30" s="5"/>
      <c r="C30" s="5"/>
      <c r="E30" s="5"/>
      <c r="G30" s="5"/>
      <c r="I30" s="5"/>
      <c r="K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</sheetData>
  <mergeCells count="32">
    <mergeCell ref="E16:E21"/>
    <mergeCell ref="M11:P12"/>
    <mergeCell ref="A24:P24"/>
    <mergeCell ref="M9:N9"/>
    <mergeCell ref="M1:P2"/>
    <mergeCell ref="M6:N7"/>
    <mergeCell ref="K5:K10"/>
    <mergeCell ref="G5:G10"/>
    <mergeCell ref="I5:I10"/>
    <mergeCell ref="G16:G21"/>
    <mergeCell ref="I16:I21"/>
    <mergeCell ref="A1:B2"/>
    <mergeCell ref="C5:C10"/>
    <mergeCell ref="E5:E10"/>
    <mergeCell ref="A6:B6"/>
    <mergeCell ref="A8:B8"/>
    <mergeCell ref="A28:N28"/>
    <mergeCell ref="A25:P25"/>
    <mergeCell ref="A26:P26"/>
    <mergeCell ref="A27:P27"/>
    <mergeCell ref="M3:N4"/>
    <mergeCell ref="O17:P17"/>
    <mergeCell ref="O19:P19"/>
    <mergeCell ref="O21:P21"/>
    <mergeCell ref="O16:P16"/>
    <mergeCell ref="O18:P18"/>
    <mergeCell ref="O20:P20"/>
    <mergeCell ref="K16:K21"/>
    <mergeCell ref="A17:B17"/>
    <mergeCell ref="A19:B19"/>
    <mergeCell ref="A13:B14"/>
    <mergeCell ref="C16:C2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buttonRestart">
          <controlPr defaultSize="0" autoLine="0" r:id="rId5">
            <anchor moveWithCells="1">
              <from>
                <xdr:col>13</xdr:col>
                <xdr:colOff>624840</xdr:colOff>
                <xdr:row>26</xdr:row>
                <xdr:rowOff>213360</xdr:rowOff>
              </from>
              <to>
                <xdr:col>15</xdr:col>
                <xdr:colOff>632460</xdr:colOff>
                <xdr:row>27</xdr:row>
                <xdr:rowOff>255270</xdr:rowOff>
              </to>
            </anchor>
          </controlPr>
        </control>
      </mc:Choice>
      <mc:Fallback>
        <control shapeId="1031" r:id="rId4" name="buttonRestart"/>
      </mc:Fallback>
    </mc:AlternateContent>
    <mc:AlternateContent xmlns:mc="http://schemas.openxmlformats.org/markup-compatibility/2006">
      <mc:Choice Requires="x14">
        <control shapeId="1029" r:id="rId6" name="buttonHit">
          <controlPr defaultSize="0" disabled="1" autoLine="0" r:id="rId7">
            <anchor moveWithCells="1">
              <from>
                <xdr:col>12</xdr:col>
                <xdr:colOff>57150</xdr:colOff>
                <xdr:row>19</xdr:row>
                <xdr:rowOff>190500</xdr:rowOff>
              </from>
              <to>
                <xdr:col>13</xdr:col>
                <xdr:colOff>579120</xdr:colOff>
                <xdr:row>21</xdr:row>
                <xdr:rowOff>190500</xdr:rowOff>
              </to>
            </anchor>
          </controlPr>
        </control>
      </mc:Choice>
      <mc:Fallback>
        <control shapeId="1029" r:id="rId6" name="buttonHit"/>
      </mc:Fallback>
    </mc:AlternateContent>
    <mc:AlternateContent xmlns:mc="http://schemas.openxmlformats.org/markup-compatibility/2006">
      <mc:Choice Requires="x14">
        <control shapeId="1028" r:id="rId8" name="buttonStand">
          <controlPr defaultSize="0" disabled="1" autoLine="0" r:id="rId9">
            <anchor moveWithCells="1">
              <from>
                <xdr:col>12</xdr:col>
                <xdr:colOff>57150</xdr:colOff>
                <xdr:row>17</xdr:row>
                <xdr:rowOff>171450</xdr:rowOff>
              </from>
              <to>
                <xdr:col>13</xdr:col>
                <xdr:colOff>571500</xdr:colOff>
                <xdr:row>19</xdr:row>
                <xdr:rowOff>114300</xdr:rowOff>
              </to>
            </anchor>
          </controlPr>
        </control>
      </mc:Choice>
      <mc:Fallback>
        <control shapeId="1028" r:id="rId8" name="buttonStand"/>
      </mc:Fallback>
    </mc:AlternateContent>
    <mc:AlternateContent xmlns:mc="http://schemas.openxmlformats.org/markup-compatibility/2006">
      <mc:Choice Requires="x14">
        <control shapeId="1027" r:id="rId10" name="buttonDeal">
          <controlPr defaultSize="0" disabled="1" autoFill="0" autoLine="0" r:id="rId11">
            <anchor moveWithCells="1">
              <from>
                <xdr:col>12</xdr:col>
                <xdr:colOff>57150</xdr:colOff>
                <xdr:row>15</xdr:row>
                <xdr:rowOff>114300</xdr:rowOff>
              </from>
              <to>
                <xdr:col>13</xdr:col>
                <xdr:colOff>567690</xdr:colOff>
                <xdr:row>17</xdr:row>
                <xdr:rowOff>106680</xdr:rowOff>
              </to>
            </anchor>
          </controlPr>
        </control>
      </mc:Choice>
      <mc:Fallback>
        <control shapeId="1027" r:id="rId10" name="buttonDeal"/>
      </mc:Fallback>
    </mc:AlternateContent>
    <mc:AlternateContent xmlns:mc="http://schemas.openxmlformats.org/markup-compatibility/2006">
      <mc:Choice Requires="x14">
        <control shapeId="1026" r:id="rId12" name="newgame2">
          <controlPr defaultSize="0" autoLine="0" r:id="rId13">
            <anchor moveWithCells="1">
              <from>
                <xdr:col>14</xdr:col>
                <xdr:colOff>49530</xdr:colOff>
                <xdr:row>12</xdr:row>
                <xdr:rowOff>114300</xdr:rowOff>
              </from>
              <to>
                <xdr:col>15</xdr:col>
                <xdr:colOff>594360</xdr:colOff>
                <xdr:row>14</xdr:row>
                <xdr:rowOff>125730</xdr:rowOff>
              </to>
            </anchor>
          </controlPr>
        </control>
      </mc:Choice>
      <mc:Fallback>
        <control shapeId="1026" r:id="rId12" name="newgame2"/>
      </mc:Fallback>
    </mc:AlternateContent>
    <mc:AlternateContent xmlns:mc="http://schemas.openxmlformats.org/markup-compatibility/2006">
      <mc:Choice Requires="x14">
        <control shapeId="1025" r:id="rId14" name="newgame">
          <controlPr defaultSize="0" autoLine="0" r:id="rId15">
            <anchor moveWithCells="1">
              <from>
                <xdr:col>12</xdr:col>
                <xdr:colOff>45720</xdr:colOff>
                <xdr:row>12</xdr:row>
                <xdr:rowOff>106680</xdr:rowOff>
              </from>
              <to>
                <xdr:col>13</xdr:col>
                <xdr:colOff>571500</xdr:colOff>
                <xdr:row>14</xdr:row>
                <xdr:rowOff>125730</xdr:rowOff>
              </to>
            </anchor>
          </controlPr>
        </control>
      </mc:Choice>
      <mc:Fallback>
        <control shapeId="1025" r:id="rId14" name="newgame"/>
      </mc:Fallback>
    </mc:AlternateContent>
    <mc:AlternateContent xmlns:mc="http://schemas.openxmlformats.org/markup-compatibility/2006">
      <mc:Choice Requires="x14">
        <control shapeId="1030" r:id="rId16" name="buttonReset">
          <controlPr defaultSize="0" autoLine="0" r:id="rId17">
            <anchor moveWithCells="1">
              <from>
                <xdr:col>14</xdr:col>
                <xdr:colOff>49530</xdr:colOff>
                <xdr:row>21</xdr:row>
                <xdr:rowOff>64770</xdr:rowOff>
              </from>
              <to>
                <xdr:col>15</xdr:col>
                <xdr:colOff>601980</xdr:colOff>
                <xdr:row>22</xdr:row>
                <xdr:rowOff>160020</xdr:rowOff>
              </to>
            </anchor>
          </controlPr>
        </control>
      </mc:Choice>
      <mc:Fallback>
        <control shapeId="1030" r:id="rId16" name="buttonRes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31"/>
  <sheetViews>
    <sheetView workbookViewId="0">
      <selection activeCell="J15" sqref="J15"/>
    </sheetView>
  </sheetViews>
  <sheetFormatPr defaultRowHeight="14.4" x14ac:dyDescent="0.55000000000000004"/>
  <cols>
    <col min="1" max="16384" width="8.83984375" style="20"/>
  </cols>
  <sheetData>
    <row r="2" spans="2:11" ht="15.3" x14ac:dyDescent="0.55000000000000004">
      <c r="B2" s="21"/>
      <c r="C2" s="21"/>
      <c r="D2" s="21"/>
      <c r="E2" s="21"/>
      <c r="F2" s="21"/>
      <c r="G2" s="21"/>
      <c r="H2" s="21"/>
      <c r="I2" s="21"/>
      <c r="J2" s="21"/>
    </row>
    <row r="3" spans="2:11" ht="15.3" x14ac:dyDescent="0.55000000000000004">
      <c r="B3" s="21"/>
      <c r="C3" s="21"/>
      <c r="D3" s="21"/>
      <c r="E3" s="21"/>
      <c r="F3" s="21"/>
      <c r="G3" s="21"/>
      <c r="H3" s="21"/>
      <c r="I3" s="21"/>
      <c r="J3" s="21"/>
    </row>
    <row r="4" spans="2:11" ht="15.3" x14ac:dyDescent="0.55000000000000004">
      <c r="B4" s="21"/>
      <c r="C4" s="21"/>
      <c r="D4" s="21"/>
      <c r="E4" s="21"/>
      <c r="F4" s="21"/>
      <c r="G4" s="21"/>
      <c r="H4" s="21"/>
      <c r="I4" s="21"/>
      <c r="J4" s="23" t="s">
        <v>20</v>
      </c>
      <c r="K4" s="20" t="s">
        <v>24</v>
      </c>
    </row>
    <row r="5" spans="2:11" ht="15.3" x14ac:dyDescent="0.55000000000000004">
      <c r="B5" s="21"/>
      <c r="C5" s="21"/>
      <c r="D5" s="21"/>
      <c r="E5" s="21"/>
      <c r="F5" s="21"/>
      <c r="G5" s="21"/>
      <c r="H5" s="21"/>
      <c r="I5" s="21"/>
      <c r="J5" s="22" t="s">
        <v>21</v>
      </c>
      <c r="K5" s="20" t="s">
        <v>17</v>
      </c>
    </row>
    <row r="6" spans="2:11" ht="15.3" x14ac:dyDescent="0.55000000000000004">
      <c r="B6" s="21"/>
      <c r="C6" s="21"/>
      <c r="D6" s="21"/>
      <c r="E6" s="21"/>
      <c r="F6" s="21"/>
      <c r="G6" s="21"/>
      <c r="H6" s="21"/>
      <c r="I6" s="21"/>
      <c r="J6" s="24" t="s">
        <v>22</v>
      </c>
      <c r="K6" s="20" t="s">
        <v>18</v>
      </c>
    </row>
    <row r="7" spans="2:11" ht="15.3" x14ac:dyDescent="0.55000000000000004">
      <c r="B7" s="21"/>
      <c r="C7" s="21"/>
      <c r="D7" s="21"/>
      <c r="E7" s="21"/>
      <c r="F7" s="21"/>
      <c r="G7" s="21"/>
      <c r="H7" s="21"/>
      <c r="I7" s="21"/>
      <c r="J7" s="25" t="s">
        <v>23</v>
      </c>
      <c r="K7" s="20" t="s">
        <v>19</v>
      </c>
    </row>
    <row r="8" spans="2:11" ht="15.3" x14ac:dyDescent="0.55000000000000004">
      <c r="B8" s="21"/>
      <c r="C8" s="21"/>
      <c r="D8" s="21"/>
      <c r="E8" s="21"/>
      <c r="F8" s="21"/>
      <c r="G8" s="21"/>
      <c r="H8" s="21"/>
      <c r="I8" s="21"/>
      <c r="J8" s="21"/>
    </row>
    <row r="9" spans="2:11" ht="15.3" x14ac:dyDescent="0.55000000000000004">
      <c r="B9" s="21"/>
      <c r="C9" s="21"/>
      <c r="D9" s="21"/>
      <c r="E9" s="21"/>
      <c r="F9" s="21"/>
      <c r="G9" s="21"/>
      <c r="H9" s="21"/>
      <c r="I9" s="21"/>
      <c r="J9" s="21"/>
    </row>
    <row r="10" spans="2:11" ht="15.3" x14ac:dyDescent="0.55000000000000004">
      <c r="B10" s="21"/>
      <c r="C10" s="21"/>
      <c r="D10" s="21"/>
      <c r="E10" s="21"/>
      <c r="F10" s="21"/>
      <c r="G10" s="21"/>
      <c r="H10" s="21"/>
      <c r="I10" s="21"/>
      <c r="J10" s="21"/>
    </row>
    <row r="11" spans="2:11" ht="15.3" x14ac:dyDescent="0.55000000000000004">
      <c r="B11" s="21"/>
      <c r="C11" s="21"/>
      <c r="D11" s="21"/>
      <c r="E11" s="21"/>
      <c r="F11" s="21"/>
      <c r="G11" s="21"/>
      <c r="H11" s="21"/>
      <c r="I11" s="21"/>
      <c r="J11" s="21"/>
    </row>
    <row r="12" spans="2:11" ht="15.3" x14ac:dyDescent="0.55000000000000004">
      <c r="B12" s="21"/>
      <c r="C12" s="21"/>
      <c r="D12" s="21"/>
      <c r="E12" s="21"/>
      <c r="F12" s="21"/>
      <c r="G12" s="21"/>
      <c r="H12" s="21"/>
      <c r="I12" s="21"/>
      <c r="J12" s="21"/>
    </row>
    <row r="13" spans="2:11" ht="15.3" x14ac:dyDescent="0.55000000000000004">
      <c r="B13" s="21"/>
      <c r="C13" s="21"/>
      <c r="D13" s="21"/>
      <c r="E13" s="21"/>
      <c r="F13" s="21"/>
      <c r="G13" s="21"/>
      <c r="H13" s="21"/>
      <c r="I13" s="21"/>
      <c r="J13" s="21"/>
    </row>
    <row r="14" spans="2:11" ht="15.3" x14ac:dyDescent="0.55000000000000004">
      <c r="B14" s="21"/>
      <c r="C14" s="21"/>
      <c r="D14" s="21"/>
      <c r="E14" s="21"/>
      <c r="F14" s="21"/>
      <c r="G14" s="21"/>
      <c r="H14" s="21"/>
      <c r="I14" s="21"/>
      <c r="J14" s="21"/>
    </row>
    <row r="15" spans="2:11" ht="15.3" x14ac:dyDescent="0.55000000000000004">
      <c r="B15" s="21"/>
      <c r="C15" s="21"/>
      <c r="D15" s="21"/>
      <c r="E15" s="21"/>
      <c r="F15" s="21"/>
      <c r="G15" s="21"/>
      <c r="H15" s="21"/>
      <c r="I15" s="21"/>
      <c r="J15" s="21"/>
    </row>
    <row r="16" spans="2:11" ht="15.3" x14ac:dyDescent="0.55000000000000004">
      <c r="B16" s="21"/>
      <c r="C16" s="21"/>
      <c r="D16" s="21"/>
      <c r="E16" s="21"/>
      <c r="F16" s="21"/>
      <c r="G16" s="21"/>
      <c r="H16" s="21"/>
      <c r="I16" s="21"/>
      <c r="J16" s="21"/>
    </row>
    <row r="17" spans="2:10" ht="15.3" x14ac:dyDescent="0.55000000000000004">
      <c r="B17" s="21"/>
      <c r="C17" s="21"/>
      <c r="D17" s="21"/>
      <c r="E17" s="21"/>
      <c r="F17" s="21"/>
      <c r="G17" s="21"/>
      <c r="H17" s="21"/>
      <c r="I17" s="21"/>
      <c r="J17" s="21"/>
    </row>
    <row r="18" spans="2:10" ht="15.3" x14ac:dyDescent="0.55000000000000004">
      <c r="B18" s="21"/>
      <c r="C18" s="21"/>
      <c r="D18" s="21"/>
      <c r="E18" s="21"/>
      <c r="F18" s="21"/>
      <c r="G18" s="21"/>
      <c r="H18" s="21"/>
      <c r="I18" s="21"/>
      <c r="J18" s="21"/>
    </row>
    <row r="19" spans="2:10" ht="15.3" x14ac:dyDescent="0.55000000000000004">
      <c r="B19" s="21"/>
      <c r="C19" s="21"/>
      <c r="D19" s="21"/>
      <c r="E19" s="21"/>
      <c r="F19" s="21"/>
      <c r="G19" s="21"/>
      <c r="H19" s="21"/>
      <c r="I19" s="21"/>
      <c r="J19" s="21"/>
    </row>
    <row r="20" spans="2:10" ht="15.3" x14ac:dyDescent="0.55000000000000004">
      <c r="B20" s="21"/>
      <c r="C20" s="21"/>
      <c r="D20" s="21"/>
      <c r="E20" s="21"/>
      <c r="F20" s="21"/>
      <c r="G20" s="21"/>
      <c r="H20" s="21"/>
      <c r="I20" s="21"/>
      <c r="J20" s="21"/>
    </row>
    <row r="21" spans="2:10" ht="15.3" x14ac:dyDescent="0.55000000000000004">
      <c r="B21" s="21"/>
      <c r="C21" s="21"/>
      <c r="D21" s="21"/>
      <c r="E21" s="21"/>
      <c r="F21" s="21"/>
      <c r="G21" s="21"/>
      <c r="H21" s="21"/>
      <c r="I21" s="21"/>
      <c r="J21" s="21"/>
    </row>
    <row r="22" spans="2:10" ht="15.3" x14ac:dyDescent="0.55000000000000004">
      <c r="B22" s="21"/>
      <c r="C22" s="21"/>
      <c r="D22" s="21"/>
      <c r="E22" s="21"/>
      <c r="F22" s="21"/>
      <c r="G22" s="21"/>
      <c r="H22" s="21"/>
      <c r="I22" s="21"/>
      <c r="J22" s="21"/>
    </row>
    <row r="23" spans="2:10" ht="15.3" x14ac:dyDescent="0.55000000000000004">
      <c r="B23" s="21"/>
      <c r="C23" s="21"/>
      <c r="D23" s="21"/>
      <c r="E23" s="21"/>
      <c r="F23" s="21"/>
      <c r="G23" s="21"/>
      <c r="H23" s="21"/>
      <c r="I23" s="21"/>
      <c r="J23" s="21"/>
    </row>
    <row r="24" spans="2:10" ht="15.3" x14ac:dyDescent="0.55000000000000004">
      <c r="B24" s="21"/>
      <c r="C24" s="21"/>
      <c r="D24" s="21"/>
      <c r="E24" s="21"/>
      <c r="F24" s="21"/>
      <c r="G24" s="21"/>
      <c r="H24" s="21"/>
      <c r="I24" s="21"/>
      <c r="J24" s="21"/>
    </row>
    <row r="25" spans="2:10" ht="15.3" x14ac:dyDescent="0.55000000000000004">
      <c r="B25" s="21"/>
      <c r="C25" s="21"/>
      <c r="D25" s="21"/>
      <c r="E25" s="21"/>
      <c r="F25" s="21"/>
      <c r="G25" s="21"/>
      <c r="H25" s="21"/>
      <c r="I25" s="21"/>
      <c r="J25" s="21"/>
    </row>
    <row r="26" spans="2:10" ht="15.3" x14ac:dyDescent="0.55000000000000004">
      <c r="B26" s="21"/>
      <c r="C26" s="21"/>
      <c r="D26" s="21"/>
      <c r="E26" s="21"/>
      <c r="F26" s="21"/>
      <c r="G26" s="21"/>
      <c r="H26" s="21"/>
      <c r="I26" s="21"/>
      <c r="J26" s="21"/>
    </row>
    <row r="27" spans="2:10" ht="15.3" x14ac:dyDescent="0.55000000000000004">
      <c r="B27" s="21"/>
      <c r="C27" s="21"/>
      <c r="D27" s="21"/>
      <c r="E27" s="21"/>
      <c r="F27" s="21"/>
      <c r="G27" s="21"/>
      <c r="H27" s="21"/>
      <c r="I27" s="21"/>
      <c r="J27" s="21"/>
    </row>
    <row r="28" spans="2:10" ht="15.3" x14ac:dyDescent="0.55000000000000004">
      <c r="B28" s="21"/>
      <c r="C28" s="21"/>
      <c r="D28" s="21"/>
      <c r="E28" s="21"/>
      <c r="F28" s="21"/>
      <c r="G28" s="21"/>
      <c r="H28" s="21"/>
      <c r="I28" s="21"/>
      <c r="J28" s="21"/>
    </row>
    <row r="29" spans="2:10" ht="15.3" x14ac:dyDescent="0.55000000000000004">
      <c r="B29" s="21"/>
      <c r="C29" s="21"/>
      <c r="D29" s="21"/>
      <c r="E29" s="21"/>
      <c r="F29" s="21"/>
      <c r="G29" s="21"/>
      <c r="H29" s="21"/>
      <c r="I29" s="21"/>
      <c r="J29" s="21"/>
    </row>
    <row r="30" spans="2:10" ht="15.3" x14ac:dyDescent="0.55000000000000004">
      <c r="B30" s="21"/>
      <c r="C30" s="21"/>
      <c r="D30" s="21"/>
      <c r="E30" s="21"/>
      <c r="F30" s="21"/>
      <c r="G30" s="21"/>
      <c r="H30" s="21"/>
      <c r="I30" s="21"/>
      <c r="J30" s="21"/>
    </row>
    <row r="31" spans="2:10" ht="15.3" x14ac:dyDescent="0.55000000000000004">
      <c r="B31" s="21"/>
      <c r="C31" s="21"/>
      <c r="D31" s="21"/>
      <c r="E31" s="21"/>
      <c r="F31" s="21"/>
      <c r="G31" s="21"/>
      <c r="H31" s="21"/>
      <c r="I31" s="21"/>
      <c r="J31" s="2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105"/>
  <sheetViews>
    <sheetView workbookViewId="0">
      <selection activeCell="F17" sqref="F17"/>
    </sheetView>
  </sheetViews>
  <sheetFormatPr defaultRowHeight="14.4" x14ac:dyDescent="0.55000000000000004"/>
  <sheetData>
    <row r="1" spans="1:31" x14ac:dyDescent="0.55000000000000004">
      <c r="A1">
        <v>52</v>
      </c>
      <c r="B1">
        <v>1</v>
      </c>
      <c r="C1">
        <v>0</v>
      </c>
      <c r="D1">
        <v>1</v>
      </c>
      <c r="E1">
        <f>(1 - (A1 / A$1) * ((C1+10) /D1))</f>
        <v>-9</v>
      </c>
      <c r="F1">
        <f>IF(E1 &lt; 0,E1 / -10,E1)</f>
        <v>0.9</v>
      </c>
      <c r="K1">
        <f>52*8</f>
        <v>416</v>
      </c>
      <c r="L1">
        <v>8</v>
      </c>
      <c r="M1">
        <f>ROUND(N1 / 2,0)</f>
        <v>1</v>
      </c>
      <c r="N1">
        <v>1</v>
      </c>
      <c r="O1">
        <f>M1/N1</f>
        <v>1</v>
      </c>
      <c r="P1">
        <f>(1 - (K1 / K$1) * ((M1+10) /N1))</f>
        <v>-10</v>
      </c>
      <c r="Q1">
        <f>IF(P1 &lt; 0,P1 / -10,P1)</f>
        <v>1</v>
      </c>
      <c r="R1">
        <f>52*8</f>
        <v>416</v>
      </c>
      <c r="S1">
        <v>8</v>
      </c>
      <c r="T1">
        <v>0</v>
      </c>
      <c r="U1">
        <v>1</v>
      </c>
      <c r="V1">
        <f>R1/S1</f>
        <v>52</v>
      </c>
      <c r="W1">
        <f>(1 - (R1 / R$1) * ((T1+10) /U1))</f>
        <v>-9</v>
      </c>
      <c r="X1">
        <f>IF(W1 &lt; 0,W1 / -10,W1)</f>
        <v>0.9</v>
      </c>
      <c r="Y1">
        <f>52*8</f>
        <v>416</v>
      </c>
      <c r="Z1">
        <v>8</v>
      </c>
      <c r="AA1">
        <f>AB1</f>
        <v>1</v>
      </c>
      <c r="AB1">
        <v>1</v>
      </c>
      <c r="AC1">
        <f>Y1/Z1</f>
        <v>52</v>
      </c>
      <c r="AD1">
        <f>(1 - (Y1 / Y$1) * ((AA1+10) /AB1))</f>
        <v>-10</v>
      </c>
      <c r="AE1">
        <f>IF(AD1 &lt; 0,AD1 / -10,AD1)</f>
        <v>1</v>
      </c>
    </row>
    <row r="2" spans="1:31" x14ac:dyDescent="0.55000000000000004">
      <c r="A2">
        <f>A1 - 4</f>
        <v>48</v>
      </c>
      <c r="B2">
        <f>$B$1</f>
        <v>1</v>
      </c>
      <c r="C2">
        <f>C1 +1</f>
        <v>1</v>
      </c>
      <c r="D2">
        <f>D1 +1</f>
        <v>2</v>
      </c>
      <c r="E2">
        <f t="shared" ref="E2:E14" si="0">(1 - (A2 / A$1) * ((C2+10) /D2))</f>
        <v>-4.0769230769230775</v>
      </c>
      <c r="F2">
        <f t="shared" ref="F2:F14" si="1">IF(E2 &lt; 0,E2 / -10,E2)</f>
        <v>0.40769230769230774</v>
      </c>
      <c r="K2">
        <f>K1 - 4</f>
        <v>412</v>
      </c>
      <c r="L2">
        <f>$L$1</f>
        <v>8</v>
      </c>
      <c r="M2">
        <f t="shared" ref="M2:M65" si="2">ROUND(N2 / 2,0)</f>
        <v>1</v>
      </c>
      <c r="N2">
        <f>N1 +1</f>
        <v>2</v>
      </c>
      <c r="O2">
        <f t="shared" ref="O2:O65" si="3">M2/N2</f>
        <v>0.5</v>
      </c>
      <c r="P2">
        <f t="shared" ref="P2:P65" si="4">(1 - (K2 / K$1) * ((M2+10) /N2))</f>
        <v>-4.447115384615385</v>
      </c>
      <c r="Q2">
        <f t="shared" ref="Q2:Q65" si="5">IF(P2 &lt; 0,P2 / -10,P2)</f>
        <v>0.44471153846153849</v>
      </c>
      <c r="R2">
        <f>R1 - 4</f>
        <v>412</v>
      </c>
      <c r="S2">
        <f>$L$1</f>
        <v>8</v>
      </c>
      <c r="T2">
        <v>0</v>
      </c>
      <c r="U2">
        <f>U1 +1</f>
        <v>2</v>
      </c>
      <c r="V2">
        <f t="shared" ref="V2:V65" si="6">R2/S2</f>
        <v>51.5</v>
      </c>
      <c r="W2">
        <f t="shared" ref="W2:W65" si="7">(1 - (R2 / R$1) * ((T2+10) /U2))</f>
        <v>-3.9519230769230766</v>
      </c>
      <c r="X2">
        <f t="shared" ref="X2:X65" si="8">IF(W2 &lt; 0,W2 / -10,W2)</f>
        <v>0.39519230769230768</v>
      </c>
      <c r="Y2">
        <f>Y1 - 4</f>
        <v>412</v>
      </c>
      <c r="Z2">
        <f>$L$1</f>
        <v>8</v>
      </c>
      <c r="AA2">
        <f t="shared" ref="AA2:AA65" si="9">AB2</f>
        <v>2</v>
      </c>
      <c r="AB2">
        <f>AB1 +1</f>
        <v>2</v>
      </c>
      <c r="AC2">
        <f t="shared" ref="AC2:AC65" si="10">Y2/Z2</f>
        <v>51.5</v>
      </c>
      <c r="AD2">
        <f t="shared" ref="AD2:AD65" si="11">(1 - (Y2 / Y$1) * ((AA2+10) /AB2))</f>
        <v>-4.9423076923076925</v>
      </c>
      <c r="AE2">
        <f t="shared" ref="AE2:AE65" si="12">IF(AD2 &lt; 0,AD2 / -10,AD2)</f>
        <v>0.49423076923076925</v>
      </c>
    </row>
    <row r="3" spans="1:31" x14ac:dyDescent="0.55000000000000004">
      <c r="A3">
        <f t="shared" ref="A3:A5" si="13">A2 - 4</f>
        <v>44</v>
      </c>
      <c r="B3">
        <f t="shared" ref="B3:B14" si="14">$B$1</f>
        <v>1</v>
      </c>
      <c r="C3">
        <f>C2 + C$2</f>
        <v>2</v>
      </c>
      <c r="D3">
        <f t="shared" ref="D3:D5" si="15">D2 +1</f>
        <v>3</v>
      </c>
      <c r="E3">
        <f t="shared" si="0"/>
        <v>-2.3846153846153846</v>
      </c>
      <c r="F3">
        <f t="shared" si="1"/>
        <v>0.23846153846153845</v>
      </c>
      <c r="K3">
        <f t="shared" ref="K3:K10" si="16">K2 - 4</f>
        <v>408</v>
      </c>
      <c r="L3">
        <f t="shared" ref="L3:L66" si="17">$L$1</f>
        <v>8</v>
      </c>
      <c r="M3">
        <f t="shared" si="2"/>
        <v>2</v>
      </c>
      <c r="N3">
        <f t="shared" ref="N3:N10" si="18">N2 +1</f>
        <v>3</v>
      </c>
      <c r="O3">
        <f t="shared" si="3"/>
        <v>0.66666666666666663</v>
      </c>
      <c r="P3">
        <f t="shared" si="4"/>
        <v>-2.9230769230769229</v>
      </c>
      <c r="Q3">
        <f t="shared" si="5"/>
        <v>0.29230769230769227</v>
      </c>
      <c r="R3">
        <f t="shared" ref="R3:R66" si="19">R2 - 4</f>
        <v>408</v>
      </c>
      <c r="S3">
        <f t="shared" ref="S3:S66" si="20">$L$1</f>
        <v>8</v>
      </c>
      <c r="T3">
        <v>0</v>
      </c>
      <c r="U3">
        <f t="shared" ref="U3:U66" si="21">U2 +1</f>
        <v>3</v>
      </c>
      <c r="V3">
        <f t="shared" si="6"/>
        <v>51</v>
      </c>
      <c r="W3">
        <f t="shared" si="7"/>
        <v>-2.2692307692307692</v>
      </c>
      <c r="X3">
        <f t="shared" si="8"/>
        <v>0.22692307692307692</v>
      </c>
      <c r="Y3">
        <f t="shared" ref="Y3:Y66" si="22">Y2 - 4</f>
        <v>408</v>
      </c>
      <c r="Z3">
        <f t="shared" ref="Z3:Z66" si="23">$L$1</f>
        <v>8</v>
      </c>
      <c r="AA3">
        <f t="shared" si="9"/>
        <v>3</v>
      </c>
      <c r="AB3">
        <f t="shared" ref="AB3:AB66" si="24">AB2 +1</f>
        <v>3</v>
      </c>
      <c r="AC3">
        <f t="shared" si="10"/>
        <v>51</v>
      </c>
      <c r="AD3">
        <f t="shared" si="11"/>
        <v>-3.2499999999999991</v>
      </c>
      <c r="AE3">
        <f t="shared" si="12"/>
        <v>0.3249999999999999</v>
      </c>
    </row>
    <row r="4" spans="1:31" x14ac:dyDescent="0.55000000000000004">
      <c r="A4">
        <f t="shared" si="13"/>
        <v>40</v>
      </c>
      <c r="B4">
        <f t="shared" si="14"/>
        <v>1</v>
      </c>
      <c r="C4">
        <f>C3 + C$1</f>
        <v>2</v>
      </c>
      <c r="D4">
        <f t="shared" si="15"/>
        <v>4</v>
      </c>
      <c r="E4">
        <f t="shared" si="0"/>
        <v>-1.3076923076923079</v>
      </c>
      <c r="F4">
        <f t="shared" si="1"/>
        <v>0.1307692307692308</v>
      </c>
      <c r="K4">
        <f t="shared" si="16"/>
        <v>404</v>
      </c>
      <c r="L4">
        <f t="shared" si="17"/>
        <v>8</v>
      </c>
      <c r="M4">
        <f t="shared" si="2"/>
        <v>2</v>
      </c>
      <c r="N4">
        <f t="shared" si="18"/>
        <v>4</v>
      </c>
      <c r="O4">
        <f t="shared" si="3"/>
        <v>0.5</v>
      </c>
      <c r="P4">
        <f t="shared" si="4"/>
        <v>-1.9134615384615383</v>
      </c>
      <c r="Q4">
        <f t="shared" si="5"/>
        <v>0.19134615384615383</v>
      </c>
      <c r="R4">
        <f t="shared" si="19"/>
        <v>404</v>
      </c>
      <c r="S4">
        <f t="shared" si="20"/>
        <v>8</v>
      </c>
      <c r="T4">
        <v>0</v>
      </c>
      <c r="U4">
        <f t="shared" si="21"/>
        <v>4</v>
      </c>
      <c r="V4">
        <f t="shared" si="6"/>
        <v>50.5</v>
      </c>
      <c r="W4">
        <f t="shared" si="7"/>
        <v>-1.4278846153846154</v>
      </c>
      <c r="X4">
        <f t="shared" si="8"/>
        <v>0.14278846153846153</v>
      </c>
      <c r="Y4">
        <f t="shared" si="22"/>
        <v>404</v>
      </c>
      <c r="Z4">
        <f t="shared" si="23"/>
        <v>8</v>
      </c>
      <c r="AA4">
        <f t="shared" si="9"/>
        <v>4</v>
      </c>
      <c r="AB4">
        <f t="shared" si="24"/>
        <v>4</v>
      </c>
      <c r="AC4">
        <f t="shared" si="10"/>
        <v>50.5</v>
      </c>
      <c r="AD4">
        <f t="shared" si="11"/>
        <v>-2.3990384615384617</v>
      </c>
      <c r="AE4">
        <f t="shared" si="12"/>
        <v>0.23990384615384616</v>
      </c>
    </row>
    <row r="5" spans="1:31" x14ac:dyDescent="0.55000000000000004">
      <c r="A5">
        <f t="shared" si="13"/>
        <v>36</v>
      </c>
      <c r="B5">
        <f t="shared" si="14"/>
        <v>1</v>
      </c>
      <c r="C5">
        <f t="shared" ref="C5" si="25">C4 + C$2</f>
        <v>3</v>
      </c>
      <c r="D5">
        <f t="shared" si="15"/>
        <v>5</v>
      </c>
      <c r="E5">
        <f t="shared" si="0"/>
        <v>-0.8</v>
      </c>
      <c r="F5">
        <f t="shared" si="1"/>
        <v>0.08</v>
      </c>
      <c r="K5">
        <f t="shared" si="16"/>
        <v>400</v>
      </c>
      <c r="L5">
        <f t="shared" si="17"/>
        <v>8</v>
      </c>
      <c r="M5">
        <f t="shared" si="2"/>
        <v>3</v>
      </c>
      <c r="N5">
        <f t="shared" si="18"/>
        <v>5</v>
      </c>
      <c r="O5">
        <f t="shared" si="3"/>
        <v>0.6</v>
      </c>
      <c r="P5">
        <f t="shared" si="4"/>
        <v>-1.5</v>
      </c>
      <c r="Q5">
        <f t="shared" si="5"/>
        <v>0.15</v>
      </c>
      <c r="R5">
        <f t="shared" si="19"/>
        <v>400</v>
      </c>
      <c r="S5">
        <f t="shared" si="20"/>
        <v>8</v>
      </c>
      <c r="T5">
        <v>0</v>
      </c>
      <c r="U5">
        <f t="shared" si="21"/>
        <v>5</v>
      </c>
      <c r="V5">
        <f t="shared" si="6"/>
        <v>50</v>
      </c>
      <c r="W5">
        <f t="shared" si="7"/>
        <v>-0.92307692307692313</v>
      </c>
      <c r="X5">
        <f t="shared" si="8"/>
        <v>9.2307692307692313E-2</v>
      </c>
      <c r="Y5">
        <f t="shared" si="22"/>
        <v>400</v>
      </c>
      <c r="Z5">
        <f t="shared" si="23"/>
        <v>8</v>
      </c>
      <c r="AA5">
        <f t="shared" si="9"/>
        <v>5</v>
      </c>
      <c r="AB5">
        <f t="shared" si="24"/>
        <v>5</v>
      </c>
      <c r="AC5">
        <f t="shared" si="10"/>
        <v>50</v>
      </c>
      <c r="AD5">
        <f t="shared" si="11"/>
        <v>-1.8846153846153846</v>
      </c>
      <c r="AE5">
        <f t="shared" si="12"/>
        <v>0.18846153846153846</v>
      </c>
    </row>
    <row r="6" spans="1:31" x14ac:dyDescent="0.55000000000000004">
      <c r="A6">
        <f t="shared" ref="A6:A10" si="26">A5 - 4</f>
        <v>32</v>
      </c>
      <c r="B6">
        <f t="shared" si="14"/>
        <v>1</v>
      </c>
      <c r="C6">
        <f t="shared" ref="C6" si="27">C5 + C$1</f>
        <v>3</v>
      </c>
      <c r="D6">
        <f t="shared" ref="D6:D10" si="28">D5 +1</f>
        <v>6</v>
      </c>
      <c r="E6">
        <f t="shared" si="0"/>
        <v>-0.33333333333333326</v>
      </c>
      <c r="F6">
        <f t="shared" si="1"/>
        <v>3.3333333333333326E-2</v>
      </c>
      <c r="K6">
        <f t="shared" si="16"/>
        <v>396</v>
      </c>
      <c r="L6">
        <f t="shared" si="17"/>
        <v>8</v>
      </c>
      <c r="M6">
        <f t="shared" si="2"/>
        <v>3</v>
      </c>
      <c r="N6">
        <f t="shared" si="18"/>
        <v>6</v>
      </c>
      <c r="O6">
        <f t="shared" si="3"/>
        <v>0.5</v>
      </c>
      <c r="P6">
        <f t="shared" si="4"/>
        <v>-1.0624999999999996</v>
      </c>
      <c r="Q6">
        <f t="shared" si="5"/>
        <v>0.10624999999999996</v>
      </c>
      <c r="R6">
        <f t="shared" si="19"/>
        <v>396</v>
      </c>
      <c r="S6">
        <f t="shared" si="20"/>
        <v>8</v>
      </c>
      <c r="T6">
        <v>0</v>
      </c>
      <c r="U6">
        <f t="shared" si="21"/>
        <v>6</v>
      </c>
      <c r="V6">
        <f t="shared" si="6"/>
        <v>49.5</v>
      </c>
      <c r="W6">
        <f t="shared" si="7"/>
        <v>-0.58653846153846145</v>
      </c>
      <c r="X6">
        <f t="shared" si="8"/>
        <v>5.8653846153846147E-2</v>
      </c>
      <c r="Y6">
        <f t="shared" si="22"/>
        <v>396</v>
      </c>
      <c r="Z6">
        <f t="shared" si="23"/>
        <v>8</v>
      </c>
      <c r="AA6">
        <f t="shared" si="9"/>
        <v>6</v>
      </c>
      <c r="AB6">
        <f t="shared" si="24"/>
        <v>6</v>
      </c>
      <c r="AC6">
        <f t="shared" si="10"/>
        <v>49.5</v>
      </c>
      <c r="AD6">
        <f t="shared" si="11"/>
        <v>-1.5384615384615383</v>
      </c>
      <c r="AE6">
        <f t="shared" si="12"/>
        <v>0.15384615384615383</v>
      </c>
    </row>
    <row r="7" spans="1:31" x14ac:dyDescent="0.55000000000000004">
      <c r="A7">
        <f t="shared" si="26"/>
        <v>28</v>
      </c>
      <c r="B7">
        <f t="shared" si="14"/>
        <v>1</v>
      </c>
      <c r="C7">
        <f t="shared" ref="C7" si="29">C6 + C$2</f>
        <v>4</v>
      </c>
      <c r="D7">
        <f t="shared" si="28"/>
        <v>7</v>
      </c>
      <c r="E7">
        <f t="shared" si="0"/>
        <v>-7.6923076923076872E-2</v>
      </c>
      <c r="F7">
        <f t="shared" si="1"/>
        <v>7.6923076923076875E-3</v>
      </c>
      <c r="K7">
        <f t="shared" si="16"/>
        <v>392</v>
      </c>
      <c r="L7">
        <f t="shared" si="17"/>
        <v>8</v>
      </c>
      <c r="M7">
        <f t="shared" si="2"/>
        <v>4</v>
      </c>
      <c r="N7">
        <f t="shared" si="18"/>
        <v>7</v>
      </c>
      <c r="O7">
        <f t="shared" si="3"/>
        <v>0.5714285714285714</v>
      </c>
      <c r="P7">
        <f t="shared" si="4"/>
        <v>-0.88461538461538458</v>
      </c>
      <c r="Q7">
        <f t="shared" si="5"/>
        <v>8.8461538461538453E-2</v>
      </c>
      <c r="R7">
        <f t="shared" si="19"/>
        <v>392</v>
      </c>
      <c r="S7">
        <f t="shared" si="20"/>
        <v>8</v>
      </c>
      <c r="T7">
        <v>0</v>
      </c>
      <c r="U7">
        <f t="shared" si="21"/>
        <v>7</v>
      </c>
      <c r="V7">
        <f t="shared" si="6"/>
        <v>49</v>
      </c>
      <c r="W7">
        <f t="shared" si="7"/>
        <v>-0.34615384615384626</v>
      </c>
      <c r="X7">
        <f t="shared" si="8"/>
        <v>3.4615384615384624E-2</v>
      </c>
      <c r="Y7">
        <f t="shared" si="22"/>
        <v>392</v>
      </c>
      <c r="Z7">
        <f t="shared" si="23"/>
        <v>8</v>
      </c>
      <c r="AA7">
        <f t="shared" si="9"/>
        <v>7</v>
      </c>
      <c r="AB7">
        <f t="shared" si="24"/>
        <v>7</v>
      </c>
      <c r="AC7">
        <f t="shared" si="10"/>
        <v>49</v>
      </c>
      <c r="AD7">
        <f t="shared" si="11"/>
        <v>-1.2884615384615383</v>
      </c>
      <c r="AE7">
        <f t="shared" si="12"/>
        <v>0.12884615384615383</v>
      </c>
    </row>
    <row r="8" spans="1:31" x14ac:dyDescent="0.55000000000000004">
      <c r="A8">
        <f t="shared" si="26"/>
        <v>24</v>
      </c>
      <c r="B8">
        <f t="shared" si="14"/>
        <v>1</v>
      </c>
      <c r="C8">
        <f t="shared" ref="C8" si="30">C7 + C$1</f>
        <v>4</v>
      </c>
      <c r="D8">
        <f t="shared" si="28"/>
        <v>8</v>
      </c>
      <c r="E8">
        <f t="shared" si="0"/>
        <v>0.19230769230769229</v>
      </c>
      <c r="F8">
        <f t="shared" si="1"/>
        <v>0.19230769230769229</v>
      </c>
      <c r="K8">
        <f t="shared" si="16"/>
        <v>388</v>
      </c>
      <c r="L8">
        <f t="shared" si="17"/>
        <v>8</v>
      </c>
      <c r="M8">
        <f t="shared" si="2"/>
        <v>4</v>
      </c>
      <c r="N8">
        <f t="shared" si="18"/>
        <v>8</v>
      </c>
      <c r="O8">
        <f t="shared" si="3"/>
        <v>0.5</v>
      </c>
      <c r="P8">
        <f t="shared" si="4"/>
        <v>-0.63221153846153855</v>
      </c>
      <c r="Q8">
        <f t="shared" si="5"/>
        <v>6.3221153846153857E-2</v>
      </c>
      <c r="R8">
        <f t="shared" si="19"/>
        <v>388</v>
      </c>
      <c r="S8">
        <f t="shared" si="20"/>
        <v>8</v>
      </c>
      <c r="T8">
        <v>0</v>
      </c>
      <c r="U8">
        <f t="shared" si="21"/>
        <v>8</v>
      </c>
      <c r="V8">
        <f t="shared" si="6"/>
        <v>48.5</v>
      </c>
      <c r="W8">
        <f t="shared" si="7"/>
        <v>-0.16586538461538458</v>
      </c>
      <c r="X8">
        <f t="shared" si="8"/>
        <v>1.6586538461538458E-2</v>
      </c>
      <c r="Y8">
        <f t="shared" si="22"/>
        <v>388</v>
      </c>
      <c r="Z8">
        <f t="shared" si="23"/>
        <v>8</v>
      </c>
      <c r="AA8">
        <f t="shared" si="9"/>
        <v>8</v>
      </c>
      <c r="AB8">
        <f t="shared" si="24"/>
        <v>8</v>
      </c>
      <c r="AC8">
        <f t="shared" si="10"/>
        <v>48.5</v>
      </c>
      <c r="AD8">
        <f t="shared" si="11"/>
        <v>-1.0985576923076925</v>
      </c>
      <c r="AE8">
        <f t="shared" si="12"/>
        <v>0.10985576923076926</v>
      </c>
    </row>
    <row r="9" spans="1:31" x14ac:dyDescent="0.55000000000000004">
      <c r="A9">
        <f t="shared" si="26"/>
        <v>20</v>
      </c>
      <c r="B9">
        <f t="shared" si="14"/>
        <v>1</v>
      </c>
      <c r="C9">
        <f t="shared" ref="C9" si="31">C8 + C$2</f>
        <v>5</v>
      </c>
      <c r="D9">
        <f t="shared" si="28"/>
        <v>9</v>
      </c>
      <c r="E9">
        <f t="shared" si="0"/>
        <v>0.35897435897435892</v>
      </c>
      <c r="F9">
        <f t="shared" si="1"/>
        <v>0.35897435897435892</v>
      </c>
      <c r="K9">
        <f t="shared" si="16"/>
        <v>384</v>
      </c>
      <c r="L9">
        <f t="shared" si="17"/>
        <v>8</v>
      </c>
      <c r="M9">
        <f t="shared" si="2"/>
        <v>5</v>
      </c>
      <c r="N9">
        <f t="shared" si="18"/>
        <v>9</v>
      </c>
      <c r="O9">
        <f t="shared" si="3"/>
        <v>0.55555555555555558</v>
      </c>
      <c r="P9">
        <f t="shared" si="4"/>
        <v>-0.53846153846153855</v>
      </c>
      <c r="Q9">
        <f t="shared" si="5"/>
        <v>5.3846153846153856E-2</v>
      </c>
      <c r="R9">
        <f t="shared" si="19"/>
        <v>384</v>
      </c>
      <c r="S9">
        <f t="shared" si="20"/>
        <v>8</v>
      </c>
      <c r="T9">
        <v>0</v>
      </c>
      <c r="U9">
        <f t="shared" si="21"/>
        <v>9</v>
      </c>
      <c r="V9">
        <f t="shared" si="6"/>
        <v>48</v>
      </c>
      <c r="W9">
        <f t="shared" si="7"/>
        <v>-2.5641025641025772E-2</v>
      </c>
      <c r="X9">
        <f t="shared" si="8"/>
        <v>2.5641025641025771E-3</v>
      </c>
      <c r="Y9">
        <f t="shared" si="22"/>
        <v>384</v>
      </c>
      <c r="Z9">
        <f t="shared" si="23"/>
        <v>8</v>
      </c>
      <c r="AA9">
        <f t="shared" si="9"/>
        <v>9</v>
      </c>
      <c r="AB9">
        <f t="shared" si="24"/>
        <v>9</v>
      </c>
      <c r="AC9">
        <f t="shared" si="10"/>
        <v>48</v>
      </c>
      <c r="AD9">
        <f t="shared" si="11"/>
        <v>-0.9487179487179489</v>
      </c>
      <c r="AE9">
        <f t="shared" si="12"/>
        <v>9.4871794871794896E-2</v>
      </c>
    </row>
    <row r="10" spans="1:31" x14ac:dyDescent="0.55000000000000004">
      <c r="A10">
        <f t="shared" si="26"/>
        <v>16</v>
      </c>
      <c r="B10">
        <f t="shared" si="14"/>
        <v>1</v>
      </c>
      <c r="C10">
        <f t="shared" ref="C10" si="32">C9 + C$1</f>
        <v>5</v>
      </c>
      <c r="D10">
        <f t="shared" si="28"/>
        <v>10</v>
      </c>
      <c r="E10">
        <f t="shared" si="0"/>
        <v>0.53846153846153844</v>
      </c>
      <c r="F10">
        <f t="shared" si="1"/>
        <v>0.53846153846153844</v>
      </c>
      <c r="K10">
        <f t="shared" si="16"/>
        <v>380</v>
      </c>
      <c r="L10">
        <f t="shared" si="17"/>
        <v>8</v>
      </c>
      <c r="M10">
        <f t="shared" si="2"/>
        <v>5</v>
      </c>
      <c r="N10">
        <f t="shared" si="18"/>
        <v>10</v>
      </c>
      <c r="O10">
        <f t="shared" si="3"/>
        <v>0.5</v>
      </c>
      <c r="P10">
        <f t="shared" si="4"/>
        <v>-0.37019230769230771</v>
      </c>
      <c r="Q10">
        <f t="shared" si="5"/>
        <v>3.701923076923077E-2</v>
      </c>
      <c r="R10">
        <f t="shared" si="19"/>
        <v>380</v>
      </c>
      <c r="S10">
        <f t="shared" si="20"/>
        <v>8</v>
      </c>
      <c r="T10">
        <v>0</v>
      </c>
      <c r="U10">
        <f t="shared" si="21"/>
        <v>10</v>
      </c>
      <c r="V10">
        <f t="shared" si="6"/>
        <v>47.5</v>
      </c>
      <c r="W10">
        <f t="shared" si="7"/>
        <v>8.6538461538461564E-2</v>
      </c>
      <c r="X10">
        <f t="shared" si="8"/>
        <v>8.6538461538461564E-2</v>
      </c>
      <c r="Y10">
        <f t="shared" si="22"/>
        <v>380</v>
      </c>
      <c r="Z10">
        <f t="shared" si="23"/>
        <v>8</v>
      </c>
      <c r="AA10">
        <f t="shared" si="9"/>
        <v>10</v>
      </c>
      <c r="AB10">
        <f t="shared" si="24"/>
        <v>10</v>
      </c>
      <c r="AC10">
        <f t="shared" si="10"/>
        <v>47.5</v>
      </c>
      <c r="AD10">
        <f t="shared" si="11"/>
        <v>-0.82692307692307687</v>
      </c>
      <c r="AE10">
        <f t="shared" si="12"/>
        <v>8.269230769230769E-2</v>
      </c>
    </row>
    <row r="11" spans="1:31" x14ac:dyDescent="0.55000000000000004">
      <c r="A11">
        <f t="shared" ref="A11:A14" si="33">A10 - 4</f>
        <v>12</v>
      </c>
      <c r="B11">
        <f t="shared" si="14"/>
        <v>1</v>
      </c>
      <c r="C11">
        <f t="shared" ref="C11" si="34">C10 + C$2</f>
        <v>6</v>
      </c>
      <c r="D11">
        <f t="shared" ref="D11:D14" si="35">D10 +1</f>
        <v>11</v>
      </c>
      <c r="E11">
        <f t="shared" si="0"/>
        <v>0.66433566433566438</v>
      </c>
      <c r="F11">
        <f t="shared" si="1"/>
        <v>0.66433566433566438</v>
      </c>
      <c r="K11">
        <f t="shared" ref="K11:K74" si="36">K10 - 4</f>
        <v>376</v>
      </c>
      <c r="L11">
        <f t="shared" si="17"/>
        <v>8</v>
      </c>
      <c r="M11">
        <f t="shared" si="2"/>
        <v>6</v>
      </c>
      <c r="N11">
        <f t="shared" ref="N11:N74" si="37">N10 +1</f>
        <v>11</v>
      </c>
      <c r="O11">
        <f t="shared" si="3"/>
        <v>0.54545454545454541</v>
      </c>
      <c r="P11">
        <f t="shared" si="4"/>
        <v>-0.3146853146853148</v>
      </c>
      <c r="Q11">
        <f t="shared" si="5"/>
        <v>3.1468531468531478E-2</v>
      </c>
      <c r="R11">
        <f t="shared" si="19"/>
        <v>376</v>
      </c>
      <c r="S11">
        <f t="shared" si="20"/>
        <v>8</v>
      </c>
      <c r="T11">
        <v>0</v>
      </c>
      <c r="U11">
        <f t="shared" si="21"/>
        <v>11</v>
      </c>
      <c r="V11">
        <f t="shared" si="6"/>
        <v>47</v>
      </c>
      <c r="W11">
        <f t="shared" si="7"/>
        <v>0.17832167832167833</v>
      </c>
      <c r="X11">
        <f t="shared" si="8"/>
        <v>0.17832167832167833</v>
      </c>
      <c r="Y11">
        <f t="shared" si="22"/>
        <v>376</v>
      </c>
      <c r="Z11">
        <f t="shared" si="23"/>
        <v>8</v>
      </c>
      <c r="AA11">
        <f t="shared" si="9"/>
        <v>11</v>
      </c>
      <c r="AB11">
        <f t="shared" si="24"/>
        <v>11</v>
      </c>
      <c r="AC11">
        <f t="shared" si="10"/>
        <v>47</v>
      </c>
      <c r="AD11">
        <f t="shared" si="11"/>
        <v>-0.72552447552447563</v>
      </c>
      <c r="AE11">
        <f t="shared" si="12"/>
        <v>7.2552447552447566E-2</v>
      </c>
    </row>
    <row r="12" spans="1:31" x14ac:dyDescent="0.55000000000000004">
      <c r="A12">
        <f t="shared" si="33"/>
        <v>8</v>
      </c>
      <c r="B12">
        <f t="shared" si="14"/>
        <v>1</v>
      </c>
      <c r="C12">
        <f t="shared" ref="C12" si="38">C11 + C$1</f>
        <v>6</v>
      </c>
      <c r="D12">
        <f t="shared" si="35"/>
        <v>12</v>
      </c>
      <c r="E12">
        <f t="shared" si="0"/>
        <v>0.79487179487179493</v>
      </c>
      <c r="F12">
        <f t="shared" si="1"/>
        <v>0.79487179487179493</v>
      </c>
      <c r="K12">
        <f t="shared" si="36"/>
        <v>372</v>
      </c>
      <c r="L12">
        <f t="shared" si="17"/>
        <v>8</v>
      </c>
      <c r="M12">
        <f t="shared" si="2"/>
        <v>6</v>
      </c>
      <c r="N12">
        <f t="shared" si="37"/>
        <v>12</v>
      </c>
      <c r="O12">
        <f t="shared" si="3"/>
        <v>0.5</v>
      </c>
      <c r="P12">
        <f t="shared" si="4"/>
        <v>-0.19230769230769229</v>
      </c>
      <c r="Q12">
        <f t="shared" si="5"/>
        <v>1.9230769230769228E-2</v>
      </c>
      <c r="R12">
        <f t="shared" si="19"/>
        <v>372</v>
      </c>
      <c r="S12">
        <f t="shared" si="20"/>
        <v>8</v>
      </c>
      <c r="T12">
        <v>0</v>
      </c>
      <c r="U12">
        <f t="shared" si="21"/>
        <v>12</v>
      </c>
      <c r="V12">
        <f t="shared" si="6"/>
        <v>46.5</v>
      </c>
      <c r="W12">
        <f t="shared" si="7"/>
        <v>0.25480769230769229</v>
      </c>
      <c r="X12">
        <f t="shared" si="8"/>
        <v>0.25480769230769229</v>
      </c>
      <c r="Y12">
        <f t="shared" si="22"/>
        <v>372</v>
      </c>
      <c r="Z12">
        <f t="shared" si="23"/>
        <v>8</v>
      </c>
      <c r="AA12">
        <f t="shared" si="9"/>
        <v>12</v>
      </c>
      <c r="AB12">
        <f t="shared" si="24"/>
        <v>12</v>
      </c>
      <c r="AC12">
        <f t="shared" si="10"/>
        <v>46.5</v>
      </c>
      <c r="AD12">
        <f t="shared" si="11"/>
        <v>-0.63942307692307687</v>
      </c>
      <c r="AE12">
        <f t="shared" si="12"/>
        <v>6.3942307692307687E-2</v>
      </c>
    </row>
    <row r="13" spans="1:31" x14ac:dyDescent="0.55000000000000004">
      <c r="A13">
        <f t="shared" si="33"/>
        <v>4</v>
      </c>
      <c r="B13">
        <f t="shared" si="14"/>
        <v>1</v>
      </c>
      <c r="C13">
        <f t="shared" ref="C13" si="39">C12 + C$2</f>
        <v>7</v>
      </c>
      <c r="D13">
        <f t="shared" si="35"/>
        <v>13</v>
      </c>
      <c r="E13">
        <f t="shared" si="0"/>
        <v>0.89940828402366868</v>
      </c>
      <c r="F13">
        <f t="shared" si="1"/>
        <v>0.89940828402366868</v>
      </c>
      <c r="K13">
        <f t="shared" si="36"/>
        <v>368</v>
      </c>
      <c r="L13">
        <f t="shared" si="17"/>
        <v>8</v>
      </c>
      <c r="M13">
        <f t="shared" si="2"/>
        <v>7</v>
      </c>
      <c r="N13">
        <f t="shared" si="37"/>
        <v>13</v>
      </c>
      <c r="O13">
        <f t="shared" si="3"/>
        <v>0.53846153846153844</v>
      </c>
      <c r="P13">
        <f t="shared" si="4"/>
        <v>-0.15680473372781067</v>
      </c>
      <c r="Q13">
        <f t="shared" si="5"/>
        <v>1.5680473372781067E-2</v>
      </c>
      <c r="R13">
        <f t="shared" si="19"/>
        <v>368</v>
      </c>
      <c r="S13">
        <f t="shared" si="20"/>
        <v>8</v>
      </c>
      <c r="T13">
        <v>0</v>
      </c>
      <c r="U13">
        <f t="shared" si="21"/>
        <v>13</v>
      </c>
      <c r="V13">
        <f t="shared" si="6"/>
        <v>46</v>
      </c>
      <c r="W13">
        <f t="shared" si="7"/>
        <v>0.31952662721893488</v>
      </c>
      <c r="X13">
        <f t="shared" si="8"/>
        <v>0.31952662721893488</v>
      </c>
      <c r="Y13">
        <f t="shared" si="22"/>
        <v>368</v>
      </c>
      <c r="Z13">
        <f t="shared" si="23"/>
        <v>8</v>
      </c>
      <c r="AA13">
        <f t="shared" si="9"/>
        <v>13</v>
      </c>
      <c r="AB13">
        <f t="shared" si="24"/>
        <v>13</v>
      </c>
      <c r="AC13">
        <f t="shared" si="10"/>
        <v>46</v>
      </c>
      <c r="AD13">
        <f t="shared" si="11"/>
        <v>-0.56508875739644959</v>
      </c>
      <c r="AE13">
        <f t="shared" si="12"/>
        <v>5.6508875739644956E-2</v>
      </c>
    </row>
    <row r="14" spans="1:31" x14ac:dyDescent="0.55000000000000004">
      <c r="A14">
        <f t="shared" si="33"/>
        <v>0</v>
      </c>
      <c r="B14">
        <f t="shared" si="14"/>
        <v>1</v>
      </c>
      <c r="C14">
        <f t="shared" ref="C14" si="40">C13 + C$1</f>
        <v>7</v>
      </c>
      <c r="D14">
        <f t="shared" si="35"/>
        <v>14</v>
      </c>
      <c r="E14">
        <f t="shared" si="0"/>
        <v>1</v>
      </c>
      <c r="F14">
        <f t="shared" si="1"/>
        <v>1</v>
      </c>
      <c r="K14">
        <f t="shared" si="36"/>
        <v>364</v>
      </c>
      <c r="L14">
        <f t="shared" si="17"/>
        <v>8</v>
      </c>
      <c r="M14">
        <f t="shared" si="2"/>
        <v>7</v>
      </c>
      <c r="N14">
        <f t="shared" si="37"/>
        <v>14</v>
      </c>
      <c r="O14">
        <f t="shared" si="3"/>
        <v>0.5</v>
      </c>
      <c r="P14">
        <f t="shared" si="4"/>
        <v>-6.25E-2</v>
      </c>
      <c r="Q14">
        <f t="shared" si="5"/>
        <v>6.2500000000000003E-3</v>
      </c>
      <c r="R14">
        <f t="shared" si="19"/>
        <v>364</v>
      </c>
      <c r="S14">
        <f t="shared" si="20"/>
        <v>8</v>
      </c>
      <c r="T14">
        <v>0</v>
      </c>
      <c r="U14">
        <f t="shared" si="21"/>
        <v>14</v>
      </c>
      <c r="V14">
        <f t="shared" si="6"/>
        <v>45.5</v>
      </c>
      <c r="W14">
        <f t="shared" si="7"/>
        <v>0.375</v>
      </c>
      <c r="X14">
        <f t="shared" si="8"/>
        <v>0.375</v>
      </c>
      <c r="Y14">
        <f t="shared" si="22"/>
        <v>364</v>
      </c>
      <c r="Z14">
        <f t="shared" si="23"/>
        <v>8</v>
      </c>
      <c r="AA14">
        <f t="shared" si="9"/>
        <v>14</v>
      </c>
      <c r="AB14">
        <f t="shared" si="24"/>
        <v>14</v>
      </c>
      <c r="AC14">
        <f t="shared" si="10"/>
        <v>45.5</v>
      </c>
      <c r="AD14">
        <f t="shared" si="11"/>
        <v>-0.5</v>
      </c>
      <c r="AE14">
        <f t="shared" si="12"/>
        <v>0.05</v>
      </c>
    </row>
    <row r="15" spans="1:31" x14ac:dyDescent="0.55000000000000004">
      <c r="K15">
        <f t="shared" si="36"/>
        <v>360</v>
      </c>
      <c r="L15">
        <f t="shared" si="17"/>
        <v>8</v>
      </c>
      <c r="M15">
        <f t="shared" si="2"/>
        <v>8</v>
      </c>
      <c r="N15">
        <f t="shared" si="37"/>
        <v>15</v>
      </c>
      <c r="O15">
        <f t="shared" si="3"/>
        <v>0.53333333333333333</v>
      </c>
      <c r="P15">
        <f t="shared" si="4"/>
        <v>-3.8461538461538547E-2</v>
      </c>
      <c r="Q15">
        <f t="shared" si="5"/>
        <v>3.8461538461538546E-3</v>
      </c>
      <c r="R15">
        <f t="shared" si="19"/>
        <v>360</v>
      </c>
      <c r="S15">
        <f t="shared" si="20"/>
        <v>8</v>
      </c>
      <c r="T15">
        <v>0</v>
      </c>
      <c r="U15">
        <f t="shared" si="21"/>
        <v>15</v>
      </c>
      <c r="V15">
        <f t="shared" si="6"/>
        <v>45</v>
      </c>
      <c r="W15">
        <f t="shared" si="7"/>
        <v>0.42307692307692313</v>
      </c>
      <c r="X15">
        <f t="shared" si="8"/>
        <v>0.42307692307692313</v>
      </c>
      <c r="Y15">
        <f t="shared" si="22"/>
        <v>360</v>
      </c>
      <c r="Z15">
        <f t="shared" si="23"/>
        <v>8</v>
      </c>
      <c r="AA15">
        <f t="shared" si="9"/>
        <v>15</v>
      </c>
      <c r="AB15">
        <f t="shared" si="24"/>
        <v>15</v>
      </c>
      <c r="AC15">
        <f t="shared" si="10"/>
        <v>45</v>
      </c>
      <c r="AD15">
        <f t="shared" si="11"/>
        <v>-0.44230769230769251</v>
      </c>
      <c r="AE15">
        <f t="shared" si="12"/>
        <v>4.4230769230769254E-2</v>
      </c>
    </row>
    <row r="16" spans="1:31" x14ac:dyDescent="0.55000000000000004">
      <c r="K16">
        <f t="shared" si="36"/>
        <v>356</v>
      </c>
      <c r="L16">
        <f t="shared" si="17"/>
        <v>8</v>
      </c>
      <c r="M16">
        <f t="shared" si="2"/>
        <v>8</v>
      </c>
      <c r="N16">
        <f t="shared" si="37"/>
        <v>16</v>
      </c>
      <c r="O16">
        <f t="shared" si="3"/>
        <v>0.5</v>
      </c>
      <c r="P16">
        <f t="shared" si="4"/>
        <v>3.7259615384615419E-2</v>
      </c>
      <c r="Q16">
        <f t="shared" si="5"/>
        <v>3.7259615384615419E-2</v>
      </c>
      <c r="R16">
        <f t="shared" si="19"/>
        <v>356</v>
      </c>
      <c r="S16">
        <f t="shared" si="20"/>
        <v>8</v>
      </c>
      <c r="T16">
        <v>0</v>
      </c>
      <c r="U16">
        <f t="shared" si="21"/>
        <v>16</v>
      </c>
      <c r="V16">
        <f t="shared" si="6"/>
        <v>44.5</v>
      </c>
      <c r="W16">
        <f t="shared" si="7"/>
        <v>0.46514423076923084</v>
      </c>
      <c r="X16">
        <f t="shared" si="8"/>
        <v>0.46514423076923084</v>
      </c>
      <c r="Y16">
        <f t="shared" si="22"/>
        <v>356</v>
      </c>
      <c r="Z16">
        <f t="shared" si="23"/>
        <v>8</v>
      </c>
      <c r="AA16">
        <f t="shared" si="9"/>
        <v>16</v>
      </c>
      <c r="AB16">
        <f t="shared" si="24"/>
        <v>16</v>
      </c>
      <c r="AC16">
        <f t="shared" si="10"/>
        <v>44.5</v>
      </c>
      <c r="AD16">
        <f t="shared" si="11"/>
        <v>-0.390625</v>
      </c>
      <c r="AE16">
        <f t="shared" si="12"/>
        <v>3.90625E-2</v>
      </c>
    </row>
    <row r="17" spans="11:31" x14ac:dyDescent="0.55000000000000004">
      <c r="K17">
        <f t="shared" si="36"/>
        <v>352</v>
      </c>
      <c r="L17">
        <f t="shared" si="17"/>
        <v>8</v>
      </c>
      <c r="M17">
        <f t="shared" si="2"/>
        <v>9</v>
      </c>
      <c r="N17">
        <f t="shared" si="37"/>
        <v>17</v>
      </c>
      <c r="O17">
        <f t="shared" si="3"/>
        <v>0.52941176470588236</v>
      </c>
      <c r="P17">
        <f t="shared" si="4"/>
        <v>5.4298642533936681E-2</v>
      </c>
      <c r="Q17">
        <f t="shared" si="5"/>
        <v>5.4298642533936681E-2</v>
      </c>
      <c r="R17">
        <f t="shared" si="19"/>
        <v>352</v>
      </c>
      <c r="S17">
        <f t="shared" si="20"/>
        <v>8</v>
      </c>
      <c r="T17">
        <v>0</v>
      </c>
      <c r="U17">
        <f t="shared" si="21"/>
        <v>17</v>
      </c>
      <c r="V17">
        <f t="shared" si="6"/>
        <v>44</v>
      </c>
      <c r="W17">
        <f t="shared" si="7"/>
        <v>0.50226244343891402</v>
      </c>
      <c r="X17">
        <f t="shared" si="8"/>
        <v>0.50226244343891402</v>
      </c>
      <c r="Y17">
        <f t="shared" si="22"/>
        <v>352</v>
      </c>
      <c r="Z17">
        <f t="shared" si="23"/>
        <v>8</v>
      </c>
      <c r="AA17">
        <f t="shared" si="9"/>
        <v>17</v>
      </c>
      <c r="AB17">
        <f t="shared" si="24"/>
        <v>17</v>
      </c>
      <c r="AC17">
        <f t="shared" si="10"/>
        <v>44</v>
      </c>
      <c r="AD17">
        <f t="shared" si="11"/>
        <v>-0.34389140271493202</v>
      </c>
      <c r="AE17">
        <f t="shared" si="12"/>
        <v>3.4389140271493202E-2</v>
      </c>
    </row>
    <row r="18" spans="11:31" x14ac:dyDescent="0.55000000000000004">
      <c r="K18">
        <f t="shared" si="36"/>
        <v>348</v>
      </c>
      <c r="L18">
        <f t="shared" si="17"/>
        <v>8</v>
      </c>
      <c r="M18">
        <f t="shared" si="2"/>
        <v>9</v>
      </c>
      <c r="N18">
        <f t="shared" si="37"/>
        <v>18</v>
      </c>
      <c r="O18">
        <f t="shared" si="3"/>
        <v>0.5</v>
      </c>
      <c r="P18">
        <f t="shared" si="4"/>
        <v>0.1169871794871794</v>
      </c>
      <c r="Q18">
        <f t="shared" si="5"/>
        <v>0.1169871794871794</v>
      </c>
      <c r="R18">
        <f t="shared" si="19"/>
        <v>348</v>
      </c>
      <c r="S18">
        <f t="shared" si="20"/>
        <v>8</v>
      </c>
      <c r="T18">
        <v>0</v>
      </c>
      <c r="U18">
        <f t="shared" si="21"/>
        <v>18</v>
      </c>
      <c r="V18">
        <f t="shared" si="6"/>
        <v>43.5</v>
      </c>
      <c r="W18">
        <f t="shared" si="7"/>
        <v>0.53525641025641024</v>
      </c>
      <c r="X18">
        <f t="shared" si="8"/>
        <v>0.53525641025641024</v>
      </c>
      <c r="Y18">
        <f t="shared" si="22"/>
        <v>348</v>
      </c>
      <c r="Z18">
        <f t="shared" si="23"/>
        <v>8</v>
      </c>
      <c r="AA18">
        <f t="shared" si="9"/>
        <v>18</v>
      </c>
      <c r="AB18">
        <f t="shared" si="24"/>
        <v>18</v>
      </c>
      <c r="AC18">
        <f t="shared" si="10"/>
        <v>43.5</v>
      </c>
      <c r="AD18">
        <f t="shared" si="11"/>
        <v>-0.30128205128205132</v>
      </c>
      <c r="AE18">
        <f t="shared" si="12"/>
        <v>3.0128205128205132E-2</v>
      </c>
    </row>
    <row r="19" spans="11:31" x14ac:dyDescent="0.55000000000000004">
      <c r="K19">
        <f t="shared" si="36"/>
        <v>344</v>
      </c>
      <c r="L19">
        <f t="shared" si="17"/>
        <v>8</v>
      </c>
      <c r="M19">
        <f t="shared" si="2"/>
        <v>10</v>
      </c>
      <c r="N19">
        <f t="shared" si="37"/>
        <v>19</v>
      </c>
      <c r="O19">
        <f t="shared" si="3"/>
        <v>0.52631578947368418</v>
      </c>
      <c r="P19">
        <f t="shared" si="4"/>
        <v>0.12955465587044546</v>
      </c>
      <c r="Q19">
        <f t="shared" si="5"/>
        <v>0.12955465587044546</v>
      </c>
      <c r="R19">
        <f t="shared" si="19"/>
        <v>344</v>
      </c>
      <c r="S19">
        <f t="shared" si="20"/>
        <v>8</v>
      </c>
      <c r="T19">
        <v>0</v>
      </c>
      <c r="U19">
        <f t="shared" si="21"/>
        <v>19</v>
      </c>
      <c r="V19">
        <f t="shared" si="6"/>
        <v>43</v>
      </c>
      <c r="W19">
        <f t="shared" si="7"/>
        <v>0.56477732793522273</v>
      </c>
      <c r="X19">
        <f t="shared" si="8"/>
        <v>0.56477732793522273</v>
      </c>
      <c r="Y19">
        <f t="shared" si="22"/>
        <v>344</v>
      </c>
      <c r="Z19">
        <f t="shared" si="23"/>
        <v>8</v>
      </c>
      <c r="AA19">
        <f t="shared" si="9"/>
        <v>19</v>
      </c>
      <c r="AB19">
        <f t="shared" si="24"/>
        <v>19</v>
      </c>
      <c r="AC19">
        <f t="shared" si="10"/>
        <v>43</v>
      </c>
      <c r="AD19">
        <f t="shared" si="11"/>
        <v>-0.26214574898785425</v>
      </c>
      <c r="AE19">
        <f t="shared" si="12"/>
        <v>2.6214574898785425E-2</v>
      </c>
    </row>
    <row r="20" spans="11:31" x14ac:dyDescent="0.55000000000000004">
      <c r="K20">
        <f t="shared" si="36"/>
        <v>340</v>
      </c>
      <c r="L20">
        <f t="shared" si="17"/>
        <v>8</v>
      </c>
      <c r="M20">
        <f t="shared" si="2"/>
        <v>10</v>
      </c>
      <c r="N20">
        <f t="shared" si="37"/>
        <v>20</v>
      </c>
      <c r="O20">
        <f t="shared" si="3"/>
        <v>0.5</v>
      </c>
      <c r="P20">
        <f t="shared" si="4"/>
        <v>0.18269230769230771</v>
      </c>
      <c r="Q20">
        <f t="shared" si="5"/>
        <v>0.18269230769230771</v>
      </c>
      <c r="R20">
        <f t="shared" si="19"/>
        <v>340</v>
      </c>
      <c r="S20">
        <f t="shared" si="20"/>
        <v>8</v>
      </c>
      <c r="T20">
        <v>0</v>
      </c>
      <c r="U20">
        <f t="shared" si="21"/>
        <v>20</v>
      </c>
      <c r="V20">
        <f t="shared" si="6"/>
        <v>42.5</v>
      </c>
      <c r="W20">
        <f t="shared" si="7"/>
        <v>0.59134615384615385</v>
      </c>
      <c r="X20">
        <f t="shared" si="8"/>
        <v>0.59134615384615385</v>
      </c>
      <c r="Y20">
        <f t="shared" si="22"/>
        <v>340</v>
      </c>
      <c r="Z20">
        <f t="shared" si="23"/>
        <v>8</v>
      </c>
      <c r="AA20">
        <f t="shared" si="9"/>
        <v>20</v>
      </c>
      <c r="AB20">
        <f t="shared" si="24"/>
        <v>20</v>
      </c>
      <c r="AC20">
        <f t="shared" si="10"/>
        <v>42.5</v>
      </c>
      <c r="AD20">
        <f t="shared" si="11"/>
        <v>-0.22596153846153832</v>
      </c>
      <c r="AE20">
        <f t="shared" si="12"/>
        <v>2.2596153846153832E-2</v>
      </c>
    </row>
    <row r="21" spans="11:31" x14ac:dyDescent="0.55000000000000004">
      <c r="K21">
        <f t="shared" si="36"/>
        <v>336</v>
      </c>
      <c r="L21">
        <f t="shared" si="17"/>
        <v>8</v>
      </c>
      <c r="M21">
        <f t="shared" si="2"/>
        <v>11</v>
      </c>
      <c r="N21">
        <f t="shared" si="37"/>
        <v>21</v>
      </c>
      <c r="O21">
        <f t="shared" si="3"/>
        <v>0.52380952380952384</v>
      </c>
      <c r="P21">
        <f t="shared" si="4"/>
        <v>0.19230769230769229</v>
      </c>
      <c r="Q21">
        <f t="shared" si="5"/>
        <v>0.19230769230769229</v>
      </c>
      <c r="R21">
        <f t="shared" si="19"/>
        <v>336</v>
      </c>
      <c r="S21">
        <f t="shared" si="20"/>
        <v>8</v>
      </c>
      <c r="T21">
        <v>0</v>
      </c>
      <c r="U21">
        <f t="shared" si="21"/>
        <v>21</v>
      </c>
      <c r="V21">
        <f t="shared" si="6"/>
        <v>42</v>
      </c>
      <c r="W21">
        <f t="shared" si="7"/>
        <v>0.61538461538461542</v>
      </c>
      <c r="X21">
        <f t="shared" si="8"/>
        <v>0.61538461538461542</v>
      </c>
      <c r="Y21">
        <f t="shared" si="22"/>
        <v>336</v>
      </c>
      <c r="Z21">
        <f t="shared" si="23"/>
        <v>8</v>
      </c>
      <c r="AA21">
        <f t="shared" si="9"/>
        <v>21</v>
      </c>
      <c r="AB21">
        <f t="shared" si="24"/>
        <v>21</v>
      </c>
      <c r="AC21">
        <f t="shared" si="10"/>
        <v>42</v>
      </c>
      <c r="AD21">
        <f t="shared" si="11"/>
        <v>-0.19230769230769229</v>
      </c>
      <c r="AE21">
        <f t="shared" si="12"/>
        <v>1.9230769230769228E-2</v>
      </c>
    </row>
    <row r="22" spans="11:31" x14ac:dyDescent="0.55000000000000004">
      <c r="K22">
        <f t="shared" si="36"/>
        <v>332</v>
      </c>
      <c r="L22">
        <f t="shared" si="17"/>
        <v>8</v>
      </c>
      <c r="M22">
        <f t="shared" si="2"/>
        <v>11</v>
      </c>
      <c r="N22">
        <f t="shared" si="37"/>
        <v>22</v>
      </c>
      <c r="O22">
        <f t="shared" si="3"/>
        <v>0.5</v>
      </c>
      <c r="P22">
        <f t="shared" si="4"/>
        <v>0.23819930069930062</v>
      </c>
      <c r="Q22">
        <f t="shared" si="5"/>
        <v>0.23819930069930062</v>
      </c>
      <c r="R22">
        <f t="shared" si="19"/>
        <v>332</v>
      </c>
      <c r="S22">
        <f t="shared" si="20"/>
        <v>8</v>
      </c>
      <c r="T22">
        <v>0</v>
      </c>
      <c r="U22">
        <f t="shared" si="21"/>
        <v>22</v>
      </c>
      <c r="V22">
        <f t="shared" si="6"/>
        <v>41.5</v>
      </c>
      <c r="W22">
        <f t="shared" si="7"/>
        <v>0.6372377622377623</v>
      </c>
      <c r="X22">
        <f t="shared" si="8"/>
        <v>0.6372377622377623</v>
      </c>
      <c r="Y22">
        <f t="shared" si="22"/>
        <v>332</v>
      </c>
      <c r="Z22">
        <f t="shared" si="23"/>
        <v>8</v>
      </c>
      <c r="AA22">
        <f t="shared" si="9"/>
        <v>22</v>
      </c>
      <c r="AB22">
        <f t="shared" si="24"/>
        <v>22</v>
      </c>
      <c r="AC22">
        <f t="shared" si="10"/>
        <v>41.5</v>
      </c>
      <c r="AD22">
        <f t="shared" si="11"/>
        <v>-0.16083916083916105</v>
      </c>
      <c r="AE22">
        <f t="shared" si="12"/>
        <v>1.6083916083916107E-2</v>
      </c>
    </row>
    <row r="23" spans="11:31" x14ac:dyDescent="0.55000000000000004">
      <c r="K23">
        <f t="shared" si="36"/>
        <v>328</v>
      </c>
      <c r="L23">
        <f t="shared" si="17"/>
        <v>8</v>
      </c>
      <c r="M23">
        <f t="shared" si="2"/>
        <v>12</v>
      </c>
      <c r="N23">
        <f t="shared" si="37"/>
        <v>23</v>
      </c>
      <c r="O23">
        <f t="shared" si="3"/>
        <v>0.52173913043478259</v>
      </c>
      <c r="P23">
        <f t="shared" si="4"/>
        <v>0.24581939799331098</v>
      </c>
      <c r="Q23">
        <f t="shared" si="5"/>
        <v>0.24581939799331098</v>
      </c>
      <c r="R23">
        <f t="shared" si="19"/>
        <v>328</v>
      </c>
      <c r="S23">
        <f t="shared" si="20"/>
        <v>8</v>
      </c>
      <c r="T23">
        <v>0</v>
      </c>
      <c r="U23">
        <f t="shared" si="21"/>
        <v>23</v>
      </c>
      <c r="V23">
        <f t="shared" si="6"/>
        <v>41</v>
      </c>
      <c r="W23">
        <f t="shared" si="7"/>
        <v>0.65719063545150502</v>
      </c>
      <c r="X23">
        <f t="shared" si="8"/>
        <v>0.65719063545150502</v>
      </c>
      <c r="Y23">
        <f t="shared" si="22"/>
        <v>328</v>
      </c>
      <c r="Z23">
        <f t="shared" si="23"/>
        <v>8</v>
      </c>
      <c r="AA23">
        <f t="shared" si="9"/>
        <v>23</v>
      </c>
      <c r="AB23">
        <f t="shared" si="24"/>
        <v>23</v>
      </c>
      <c r="AC23">
        <f t="shared" si="10"/>
        <v>41</v>
      </c>
      <c r="AD23">
        <f t="shared" si="11"/>
        <v>-0.13127090301003341</v>
      </c>
      <c r="AE23">
        <f t="shared" si="12"/>
        <v>1.3127090301003341E-2</v>
      </c>
    </row>
    <row r="24" spans="11:31" x14ac:dyDescent="0.55000000000000004">
      <c r="K24">
        <f t="shared" si="36"/>
        <v>324</v>
      </c>
      <c r="L24">
        <f t="shared" si="17"/>
        <v>8</v>
      </c>
      <c r="M24">
        <f t="shared" si="2"/>
        <v>12</v>
      </c>
      <c r="N24">
        <f t="shared" si="37"/>
        <v>24</v>
      </c>
      <c r="O24">
        <f t="shared" si="3"/>
        <v>0.5</v>
      </c>
      <c r="P24">
        <f t="shared" si="4"/>
        <v>0.28605769230769229</v>
      </c>
      <c r="Q24">
        <f t="shared" si="5"/>
        <v>0.28605769230769229</v>
      </c>
      <c r="R24">
        <f t="shared" si="19"/>
        <v>324</v>
      </c>
      <c r="S24">
        <f t="shared" si="20"/>
        <v>8</v>
      </c>
      <c r="T24">
        <v>0</v>
      </c>
      <c r="U24">
        <f t="shared" si="21"/>
        <v>24</v>
      </c>
      <c r="V24">
        <f t="shared" si="6"/>
        <v>40.5</v>
      </c>
      <c r="W24">
        <f t="shared" si="7"/>
        <v>0.67548076923076916</v>
      </c>
      <c r="X24">
        <f t="shared" si="8"/>
        <v>0.67548076923076916</v>
      </c>
      <c r="Y24">
        <f t="shared" si="22"/>
        <v>324</v>
      </c>
      <c r="Z24">
        <f t="shared" si="23"/>
        <v>8</v>
      </c>
      <c r="AA24">
        <f t="shared" si="9"/>
        <v>24</v>
      </c>
      <c r="AB24">
        <f t="shared" si="24"/>
        <v>24</v>
      </c>
      <c r="AC24">
        <f t="shared" si="10"/>
        <v>40.5</v>
      </c>
      <c r="AD24">
        <f t="shared" si="11"/>
        <v>-0.10336538461538458</v>
      </c>
      <c r="AE24">
        <f t="shared" si="12"/>
        <v>1.0336538461538458E-2</v>
      </c>
    </row>
    <row r="25" spans="11:31" x14ac:dyDescent="0.55000000000000004">
      <c r="K25">
        <f t="shared" si="36"/>
        <v>320</v>
      </c>
      <c r="L25">
        <f t="shared" si="17"/>
        <v>8</v>
      </c>
      <c r="M25">
        <f t="shared" si="2"/>
        <v>13</v>
      </c>
      <c r="N25">
        <f t="shared" si="37"/>
        <v>25</v>
      </c>
      <c r="O25">
        <f t="shared" si="3"/>
        <v>0.52</v>
      </c>
      <c r="P25">
        <f t="shared" si="4"/>
        <v>0.29230769230769227</v>
      </c>
      <c r="Q25">
        <f t="shared" si="5"/>
        <v>0.29230769230769227</v>
      </c>
      <c r="R25">
        <f t="shared" si="19"/>
        <v>320</v>
      </c>
      <c r="S25">
        <f t="shared" si="20"/>
        <v>8</v>
      </c>
      <c r="T25">
        <v>0</v>
      </c>
      <c r="U25">
        <f t="shared" si="21"/>
        <v>25</v>
      </c>
      <c r="V25">
        <f t="shared" si="6"/>
        <v>40</v>
      </c>
      <c r="W25">
        <f t="shared" si="7"/>
        <v>0.69230769230769229</v>
      </c>
      <c r="X25">
        <f t="shared" si="8"/>
        <v>0.69230769230769229</v>
      </c>
      <c r="Y25">
        <f t="shared" si="22"/>
        <v>320</v>
      </c>
      <c r="Z25">
        <f t="shared" si="23"/>
        <v>8</v>
      </c>
      <c r="AA25">
        <f t="shared" si="9"/>
        <v>25</v>
      </c>
      <c r="AB25">
        <f t="shared" si="24"/>
        <v>25</v>
      </c>
      <c r="AC25">
        <f t="shared" si="10"/>
        <v>40</v>
      </c>
      <c r="AD25">
        <f t="shared" si="11"/>
        <v>-7.6923076923076872E-2</v>
      </c>
      <c r="AE25">
        <f t="shared" si="12"/>
        <v>7.6923076923076875E-3</v>
      </c>
    </row>
    <row r="26" spans="11:31" x14ac:dyDescent="0.55000000000000004">
      <c r="K26">
        <f t="shared" si="36"/>
        <v>316</v>
      </c>
      <c r="L26">
        <f t="shared" si="17"/>
        <v>8</v>
      </c>
      <c r="M26">
        <f t="shared" si="2"/>
        <v>13</v>
      </c>
      <c r="N26">
        <f t="shared" si="37"/>
        <v>26</v>
      </c>
      <c r="O26">
        <f t="shared" si="3"/>
        <v>0.5</v>
      </c>
      <c r="P26">
        <f t="shared" si="4"/>
        <v>0.32803254437869833</v>
      </c>
      <c r="Q26">
        <f t="shared" si="5"/>
        <v>0.32803254437869833</v>
      </c>
      <c r="R26">
        <f t="shared" si="19"/>
        <v>316</v>
      </c>
      <c r="S26">
        <f t="shared" si="20"/>
        <v>8</v>
      </c>
      <c r="T26">
        <v>0</v>
      </c>
      <c r="U26">
        <f t="shared" si="21"/>
        <v>26</v>
      </c>
      <c r="V26">
        <f t="shared" si="6"/>
        <v>39.5</v>
      </c>
      <c r="W26">
        <f t="shared" si="7"/>
        <v>0.70784023668639051</v>
      </c>
      <c r="X26">
        <f t="shared" si="8"/>
        <v>0.70784023668639051</v>
      </c>
      <c r="Y26">
        <f t="shared" si="22"/>
        <v>316</v>
      </c>
      <c r="Z26">
        <f t="shared" si="23"/>
        <v>8</v>
      </c>
      <c r="AA26">
        <f t="shared" si="9"/>
        <v>26</v>
      </c>
      <c r="AB26">
        <f t="shared" si="24"/>
        <v>26</v>
      </c>
      <c r="AC26">
        <f t="shared" si="10"/>
        <v>39.5</v>
      </c>
      <c r="AD26">
        <f t="shared" si="11"/>
        <v>-5.177514792899407E-2</v>
      </c>
      <c r="AE26">
        <f t="shared" si="12"/>
        <v>5.177514792899407E-3</v>
      </c>
    </row>
    <row r="27" spans="11:31" x14ac:dyDescent="0.55000000000000004">
      <c r="K27">
        <f t="shared" si="36"/>
        <v>312</v>
      </c>
      <c r="L27">
        <f t="shared" si="17"/>
        <v>8</v>
      </c>
      <c r="M27">
        <f t="shared" si="2"/>
        <v>14</v>
      </c>
      <c r="N27">
        <f t="shared" si="37"/>
        <v>27</v>
      </c>
      <c r="O27">
        <f t="shared" si="3"/>
        <v>0.51851851851851849</v>
      </c>
      <c r="P27">
        <f t="shared" si="4"/>
        <v>0.33333333333333337</v>
      </c>
      <c r="Q27">
        <f t="shared" si="5"/>
        <v>0.33333333333333337</v>
      </c>
      <c r="R27">
        <f t="shared" si="19"/>
        <v>312</v>
      </c>
      <c r="S27">
        <f t="shared" si="20"/>
        <v>8</v>
      </c>
      <c r="T27">
        <v>0</v>
      </c>
      <c r="U27">
        <f t="shared" si="21"/>
        <v>27</v>
      </c>
      <c r="V27">
        <f t="shared" si="6"/>
        <v>39</v>
      </c>
      <c r="W27">
        <f t="shared" si="7"/>
        <v>0.72222222222222221</v>
      </c>
      <c r="X27">
        <f t="shared" si="8"/>
        <v>0.72222222222222221</v>
      </c>
      <c r="Y27">
        <f t="shared" si="22"/>
        <v>312</v>
      </c>
      <c r="Z27">
        <f t="shared" si="23"/>
        <v>8</v>
      </c>
      <c r="AA27">
        <f t="shared" si="9"/>
        <v>27</v>
      </c>
      <c r="AB27">
        <f t="shared" si="24"/>
        <v>27</v>
      </c>
      <c r="AC27">
        <f t="shared" si="10"/>
        <v>39</v>
      </c>
      <c r="AD27">
        <f t="shared" si="11"/>
        <v>-2.7777777777777901E-2</v>
      </c>
      <c r="AE27">
        <f t="shared" si="12"/>
        <v>2.77777777777779E-3</v>
      </c>
    </row>
    <row r="28" spans="11:31" x14ac:dyDescent="0.55000000000000004">
      <c r="K28">
        <f t="shared" si="36"/>
        <v>308</v>
      </c>
      <c r="L28">
        <f t="shared" si="17"/>
        <v>8</v>
      </c>
      <c r="M28">
        <f t="shared" si="2"/>
        <v>14</v>
      </c>
      <c r="N28">
        <f t="shared" si="37"/>
        <v>28</v>
      </c>
      <c r="O28">
        <f t="shared" si="3"/>
        <v>0.5</v>
      </c>
      <c r="P28">
        <f t="shared" si="4"/>
        <v>0.36538461538461542</v>
      </c>
      <c r="Q28">
        <f t="shared" si="5"/>
        <v>0.36538461538461542</v>
      </c>
      <c r="R28">
        <f t="shared" si="19"/>
        <v>308</v>
      </c>
      <c r="S28">
        <f t="shared" si="20"/>
        <v>8</v>
      </c>
      <c r="T28">
        <v>0</v>
      </c>
      <c r="U28">
        <f t="shared" si="21"/>
        <v>28</v>
      </c>
      <c r="V28">
        <f t="shared" si="6"/>
        <v>38.5</v>
      </c>
      <c r="W28">
        <f t="shared" si="7"/>
        <v>0.73557692307692313</v>
      </c>
      <c r="X28">
        <f t="shared" si="8"/>
        <v>0.73557692307692313</v>
      </c>
      <c r="Y28">
        <f t="shared" si="22"/>
        <v>308</v>
      </c>
      <c r="Z28">
        <f t="shared" si="23"/>
        <v>8</v>
      </c>
      <c r="AA28">
        <f t="shared" si="9"/>
        <v>28</v>
      </c>
      <c r="AB28">
        <f t="shared" si="24"/>
        <v>28</v>
      </c>
      <c r="AC28">
        <f t="shared" si="10"/>
        <v>38.5</v>
      </c>
      <c r="AD28">
        <f t="shared" si="11"/>
        <v>-4.8076923076922906E-3</v>
      </c>
      <c r="AE28">
        <f t="shared" si="12"/>
        <v>4.8076923076922906E-4</v>
      </c>
    </row>
    <row r="29" spans="11:31" x14ac:dyDescent="0.55000000000000004">
      <c r="K29">
        <f t="shared" si="36"/>
        <v>304</v>
      </c>
      <c r="L29">
        <f t="shared" si="17"/>
        <v>8</v>
      </c>
      <c r="M29">
        <f t="shared" si="2"/>
        <v>15</v>
      </c>
      <c r="N29">
        <f t="shared" si="37"/>
        <v>29</v>
      </c>
      <c r="O29">
        <f t="shared" si="3"/>
        <v>0.51724137931034486</v>
      </c>
      <c r="P29">
        <f t="shared" si="4"/>
        <v>0.37002652519893908</v>
      </c>
      <c r="Q29">
        <f t="shared" si="5"/>
        <v>0.37002652519893908</v>
      </c>
      <c r="R29">
        <f t="shared" si="19"/>
        <v>304</v>
      </c>
      <c r="S29">
        <f t="shared" si="20"/>
        <v>8</v>
      </c>
      <c r="T29">
        <v>0</v>
      </c>
      <c r="U29">
        <f t="shared" si="21"/>
        <v>29</v>
      </c>
      <c r="V29">
        <f t="shared" si="6"/>
        <v>38</v>
      </c>
      <c r="W29">
        <f t="shared" si="7"/>
        <v>0.74801061007957559</v>
      </c>
      <c r="X29">
        <f t="shared" si="8"/>
        <v>0.74801061007957559</v>
      </c>
      <c r="Y29">
        <f t="shared" si="22"/>
        <v>304</v>
      </c>
      <c r="Z29">
        <f t="shared" si="23"/>
        <v>8</v>
      </c>
      <c r="AA29">
        <f t="shared" si="9"/>
        <v>29</v>
      </c>
      <c r="AB29">
        <f t="shared" si="24"/>
        <v>29</v>
      </c>
      <c r="AC29">
        <f t="shared" si="10"/>
        <v>38</v>
      </c>
      <c r="AD29">
        <f t="shared" si="11"/>
        <v>1.7241379310344862E-2</v>
      </c>
      <c r="AE29">
        <f t="shared" si="12"/>
        <v>1.7241379310344862E-2</v>
      </c>
    </row>
    <row r="30" spans="11:31" x14ac:dyDescent="0.55000000000000004">
      <c r="K30">
        <f t="shared" si="36"/>
        <v>300</v>
      </c>
      <c r="L30">
        <f t="shared" si="17"/>
        <v>8</v>
      </c>
      <c r="M30">
        <f t="shared" si="2"/>
        <v>15</v>
      </c>
      <c r="N30">
        <f t="shared" si="37"/>
        <v>30</v>
      </c>
      <c r="O30">
        <f t="shared" si="3"/>
        <v>0.5</v>
      </c>
      <c r="P30">
        <f t="shared" si="4"/>
        <v>0.39903846153846156</v>
      </c>
      <c r="Q30">
        <f t="shared" si="5"/>
        <v>0.39903846153846156</v>
      </c>
      <c r="R30">
        <f t="shared" si="19"/>
        <v>300</v>
      </c>
      <c r="S30">
        <f t="shared" si="20"/>
        <v>8</v>
      </c>
      <c r="T30">
        <v>0</v>
      </c>
      <c r="U30">
        <f t="shared" si="21"/>
        <v>30</v>
      </c>
      <c r="V30">
        <f t="shared" si="6"/>
        <v>37.5</v>
      </c>
      <c r="W30">
        <f t="shared" si="7"/>
        <v>0.75961538461538458</v>
      </c>
      <c r="X30">
        <f t="shared" si="8"/>
        <v>0.75961538461538458</v>
      </c>
      <c r="Y30">
        <f t="shared" si="22"/>
        <v>300</v>
      </c>
      <c r="Z30">
        <f t="shared" si="23"/>
        <v>8</v>
      </c>
      <c r="AA30">
        <f t="shared" si="9"/>
        <v>30</v>
      </c>
      <c r="AB30">
        <f t="shared" si="24"/>
        <v>30</v>
      </c>
      <c r="AC30">
        <f t="shared" si="10"/>
        <v>37.5</v>
      </c>
      <c r="AD30">
        <f t="shared" si="11"/>
        <v>3.8461538461538547E-2</v>
      </c>
      <c r="AE30">
        <f t="shared" si="12"/>
        <v>3.8461538461538547E-2</v>
      </c>
    </row>
    <row r="31" spans="11:31" x14ac:dyDescent="0.55000000000000004">
      <c r="K31">
        <f t="shared" si="36"/>
        <v>296</v>
      </c>
      <c r="L31">
        <f t="shared" si="17"/>
        <v>8</v>
      </c>
      <c r="M31">
        <f t="shared" si="2"/>
        <v>16</v>
      </c>
      <c r="N31">
        <f t="shared" si="37"/>
        <v>31</v>
      </c>
      <c r="O31">
        <f t="shared" si="3"/>
        <v>0.5161290322580645</v>
      </c>
      <c r="P31">
        <f t="shared" si="4"/>
        <v>0.40322580645161288</v>
      </c>
      <c r="Q31">
        <f t="shared" si="5"/>
        <v>0.40322580645161288</v>
      </c>
      <c r="R31">
        <f t="shared" si="19"/>
        <v>296</v>
      </c>
      <c r="S31">
        <f t="shared" si="20"/>
        <v>8</v>
      </c>
      <c r="T31">
        <v>0</v>
      </c>
      <c r="U31">
        <f t="shared" si="21"/>
        <v>31</v>
      </c>
      <c r="V31">
        <f t="shared" si="6"/>
        <v>37</v>
      </c>
      <c r="W31">
        <f t="shared" si="7"/>
        <v>0.77047146401985112</v>
      </c>
      <c r="X31">
        <f t="shared" si="8"/>
        <v>0.77047146401985112</v>
      </c>
      <c r="Y31">
        <f t="shared" si="22"/>
        <v>296</v>
      </c>
      <c r="Z31">
        <f t="shared" si="23"/>
        <v>8</v>
      </c>
      <c r="AA31">
        <f t="shared" si="9"/>
        <v>31</v>
      </c>
      <c r="AB31">
        <f t="shared" si="24"/>
        <v>31</v>
      </c>
      <c r="AC31">
        <f t="shared" si="10"/>
        <v>37</v>
      </c>
      <c r="AD31">
        <f t="shared" si="11"/>
        <v>5.8933002481389551E-2</v>
      </c>
      <c r="AE31">
        <f t="shared" si="12"/>
        <v>5.8933002481389551E-2</v>
      </c>
    </row>
    <row r="32" spans="11:31" x14ac:dyDescent="0.55000000000000004">
      <c r="K32">
        <f t="shared" si="36"/>
        <v>292</v>
      </c>
      <c r="L32">
        <f t="shared" si="17"/>
        <v>8</v>
      </c>
      <c r="M32">
        <f t="shared" si="2"/>
        <v>16</v>
      </c>
      <c r="N32">
        <f t="shared" si="37"/>
        <v>32</v>
      </c>
      <c r="O32">
        <f t="shared" si="3"/>
        <v>0.5</v>
      </c>
      <c r="P32">
        <f t="shared" si="4"/>
        <v>0.4296875</v>
      </c>
      <c r="Q32">
        <f t="shared" si="5"/>
        <v>0.4296875</v>
      </c>
      <c r="R32">
        <f t="shared" si="19"/>
        <v>292</v>
      </c>
      <c r="S32">
        <f t="shared" si="20"/>
        <v>8</v>
      </c>
      <c r="T32">
        <v>0</v>
      </c>
      <c r="U32">
        <f t="shared" si="21"/>
        <v>32</v>
      </c>
      <c r="V32">
        <f t="shared" si="6"/>
        <v>36.5</v>
      </c>
      <c r="W32">
        <f t="shared" si="7"/>
        <v>0.78064903846153855</v>
      </c>
      <c r="X32">
        <f t="shared" si="8"/>
        <v>0.78064903846153855</v>
      </c>
      <c r="Y32">
        <f t="shared" si="22"/>
        <v>292</v>
      </c>
      <c r="Z32">
        <f t="shared" si="23"/>
        <v>8</v>
      </c>
      <c r="AA32">
        <f t="shared" si="9"/>
        <v>32</v>
      </c>
      <c r="AB32">
        <f t="shared" si="24"/>
        <v>32</v>
      </c>
      <c r="AC32">
        <f t="shared" si="10"/>
        <v>36.5</v>
      </c>
      <c r="AD32">
        <f t="shared" si="11"/>
        <v>7.8725961538461564E-2</v>
      </c>
      <c r="AE32">
        <f t="shared" si="12"/>
        <v>7.8725961538461564E-2</v>
      </c>
    </row>
    <row r="33" spans="11:31" x14ac:dyDescent="0.55000000000000004">
      <c r="K33">
        <f t="shared" si="36"/>
        <v>288</v>
      </c>
      <c r="L33">
        <f t="shared" si="17"/>
        <v>8</v>
      </c>
      <c r="M33">
        <f t="shared" si="2"/>
        <v>17</v>
      </c>
      <c r="N33">
        <f t="shared" si="37"/>
        <v>33</v>
      </c>
      <c r="O33">
        <f t="shared" si="3"/>
        <v>0.51515151515151514</v>
      </c>
      <c r="P33">
        <f t="shared" si="4"/>
        <v>0.43356643356643354</v>
      </c>
      <c r="Q33">
        <f t="shared" si="5"/>
        <v>0.43356643356643354</v>
      </c>
      <c r="R33">
        <f t="shared" si="19"/>
        <v>288</v>
      </c>
      <c r="S33">
        <f t="shared" si="20"/>
        <v>8</v>
      </c>
      <c r="T33">
        <v>0</v>
      </c>
      <c r="U33">
        <f t="shared" si="21"/>
        <v>33</v>
      </c>
      <c r="V33">
        <f t="shared" si="6"/>
        <v>36</v>
      </c>
      <c r="W33">
        <f t="shared" si="7"/>
        <v>0.79020979020979021</v>
      </c>
      <c r="X33">
        <f t="shared" si="8"/>
        <v>0.79020979020979021</v>
      </c>
      <c r="Y33">
        <f t="shared" si="22"/>
        <v>288</v>
      </c>
      <c r="Z33">
        <f t="shared" si="23"/>
        <v>8</v>
      </c>
      <c r="AA33">
        <f t="shared" si="9"/>
        <v>33</v>
      </c>
      <c r="AB33">
        <f t="shared" si="24"/>
        <v>33</v>
      </c>
      <c r="AC33">
        <f t="shared" si="10"/>
        <v>36</v>
      </c>
      <c r="AD33">
        <f t="shared" si="11"/>
        <v>9.7902097902097918E-2</v>
      </c>
      <c r="AE33">
        <f t="shared" si="12"/>
        <v>9.7902097902097918E-2</v>
      </c>
    </row>
    <row r="34" spans="11:31" x14ac:dyDescent="0.55000000000000004">
      <c r="K34">
        <f t="shared" si="36"/>
        <v>284</v>
      </c>
      <c r="L34">
        <f t="shared" si="17"/>
        <v>8</v>
      </c>
      <c r="M34">
        <f t="shared" si="2"/>
        <v>17</v>
      </c>
      <c r="N34">
        <f t="shared" si="37"/>
        <v>34</v>
      </c>
      <c r="O34">
        <f t="shared" si="3"/>
        <v>0.5</v>
      </c>
      <c r="P34">
        <f t="shared" si="4"/>
        <v>0.45786199095022628</v>
      </c>
      <c r="Q34">
        <f t="shared" si="5"/>
        <v>0.45786199095022628</v>
      </c>
      <c r="R34">
        <f t="shared" si="19"/>
        <v>284</v>
      </c>
      <c r="S34">
        <f t="shared" si="20"/>
        <v>8</v>
      </c>
      <c r="T34">
        <v>0</v>
      </c>
      <c r="U34">
        <f t="shared" si="21"/>
        <v>34</v>
      </c>
      <c r="V34">
        <f t="shared" si="6"/>
        <v>35.5</v>
      </c>
      <c r="W34">
        <f t="shared" si="7"/>
        <v>0.79920814479638014</v>
      </c>
      <c r="X34">
        <f t="shared" si="8"/>
        <v>0.79920814479638014</v>
      </c>
      <c r="Y34">
        <f t="shared" si="22"/>
        <v>284</v>
      </c>
      <c r="Z34">
        <f t="shared" si="23"/>
        <v>8</v>
      </c>
      <c r="AA34">
        <f t="shared" si="9"/>
        <v>34</v>
      </c>
      <c r="AB34">
        <f t="shared" si="24"/>
        <v>34</v>
      </c>
      <c r="AC34">
        <f t="shared" si="10"/>
        <v>35.5</v>
      </c>
      <c r="AD34">
        <f t="shared" si="11"/>
        <v>0.11651583710407232</v>
      </c>
      <c r="AE34">
        <f t="shared" si="12"/>
        <v>0.11651583710407232</v>
      </c>
    </row>
    <row r="35" spans="11:31" x14ac:dyDescent="0.55000000000000004">
      <c r="K35">
        <f t="shared" si="36"/>
        <v>280</v>
      </c>
      <c r="L35">
        <f t="shared" si="17"/>
        <v>8</v>
      </c>
      <c r="M35">
        <f t="shared" si="2"/>
        <v>18</v>
      </c>
      <c r="N35">
        <f t="shared" si="37"/>
        <v>35</v>
      </c>
      <c r="O35">
        <f t="shared" si="3"/>
        <v>0.51428571428571423</v>
      </c>
      <c r="P35">
        <f t="shared" si="4"/>
        <v>0.46153846153846145</v>
      </c>
      <c r="Q35">
        <f t="shared" si="5"/>
        <v>0.46153846153846145</v>
      </c>
      <c r="R35">
        <f t="shared" si="19"/>
        <v>280</v>
      </c>
      <c r="S35">
        <f t="shared" si="20"/>
        <v>8</v>
      </c>
      <c r="T35">
        <v>0</v>
      </c>
      <c r="U35">
        <f t="shared" si="21"/>
        <v>35</v>
      </c>
      <c r="V35">
        <f t="shared" si="6"/>
        <v>35</v>
      </c>
      <c r="W35">
        <f t="shared" si="7"/>
        <v>0.80769230769230771</v>
      </c>
      <c r="X35">
        <f t="shared" si="8"/>
        <v>0.80769230769230771</v>
      </c>
      <c r="Y35">
        <f t="shared" si="22"/>
        <v>280</v>
      </c>
      <c r="Z35">
        <f t="shared" si="23"/>
        <v>8</v>
      </c>
      <c r="AA35">
        <f t="shared" si="9"/>
        <v>35</v>
      </c>
      <c r="AB35">
        <f t="shared" si="24"/>
        <v>35</v>
      </c>
      <c r="AC35">
        <f t="shared" si="10"/>
        <v>35</v>
      </c>
      <c r="AD35">
        <f t="shared" si="11"/>
        <v>0.13461538461538447</v>
      </c>
      <c r="AE35">
        <f t="shared" si="12"/>
        <v>0.13461538461538447</v>
      </c>
    </row>
    <row r="36" spans="11:31" x14ac:dyDescent="0.55000000000000004">
      <c r="K36">
        <f t="shared" si="36"/>
        <v>276</v>
      </c>
      <c r="L36">
        <f t="shared" si="17"/>
        <v>8</v>
      </c>
      <c r="M36">
        <f t="shared" si="2"/>
        <v>18</v>
      </c>
      <c r="N36">
        <f t="shared" si="37"/>
        <v>36</v>
      </c>
      <c r="O36">
        <f t="shared" si="3"/>
        <v>0.5</v>
      </c>
      <c r="P36">
        <f t="shared" si="4"/>
        <v>0.48397435897435903</v>
      </c>
      <c r="Q36">
        <f t="shared" si="5"/>
        <v>0.48397435897435903</v>
      </c>
      <c r="R36">
        <f t="shared" si="19"/>
        <v>276</v>
      </c>
      <c r="S36">
        <f t="shared" si="20"/>
        <v>8</v>
      </c>
      <c r="T36">
        <v>0</v>
      </c>
      <c r="U36">
        <f t="shared" si="21"/>
        <v>36</v>
      </c>
      <c r="V36">
        <f t="shared" si="6"/>
        <v>34.5</v>
      </c>
      <c r="W36">
        <f t="shared" si="7"/>
        <v>0.81570512820512819</v>
      </c>
      <c r="X36">
        <f t="shared" si="8"/>
        <v>0.81570512820512819</v>
      </c>
      <c r="Y36">
        <f t="shared" si="22"/>
        <v>276</v>
      </c>
      <c r="Z36">
        <f t="shared" si="23"/>
        <v>8</v>
      </c>
      <c r="AA36">
        <f t="shared" si="9"/>
        <v>36</v>
      </c>
      <c r="AB36">
        <f t="shared" si="24"/>
        <v>36</v>
      </c>
      <c r="AC36">
        <f t="shared" si="10"/>
        <v>34.5</v>
      </c>
      <c r="AD36">
        <f t="shared" si="11"/>
        <v>0.15224358974358987</v>
      </c>
      <c r="AE36">
        <f t="shared" si="12"/>
        <v>0.15224358974358987</v>
      </c>
    </row>
    <row r="37" spans="11:31" x14ac:dyDescent="0.55000000000000004">
      <c r="K37">
        <f t="shared" si="36"/>
        <v>272</v>
      </c>
      <c r="L37">
        <f t="shared" si="17"/>
        <v>8</v>
      </c>
      <c r="M37">
        <f t="shared" si="2"/>
        <v>19</v>
      </c>
      <c r="N37">
        <f t="shared" si="37"/>
        <v>37</v>
      </c>
      <c r="O37">
        <f t="shared" si="3"/>
        <v>0.51351351351351349</v>
      </c>
      <c r="P37">
        <f t="shared" si="4"/>
        <v>0.48752598752598753</v>
      </c>
      <c r="Q37">
        <f t="shared" si="5"/>
        <v>0.48752598752598753</v>
      </c>
      <c r="R37">
        <f t="shared" si="19"/>
        <v>272</v>
      </c>
      <c r="S37">
        <f t="shared" si="20"/>
        <v>8</v>
      </c>
      <c r="T37">
        <v>0</v>
      </c>
      <c r="U37">
        <f t="shared" si="21"/>
        <v>37</v>
      </c>
      <c r="V37">
        <f t="shared" si="6"/>
        <v>34</v>
      </c>
      <c r="W37">
        <f t="shared" si="7"/>
        <v>0.82328482328482333</v>
      </c>
      <c r="X37">
        <f t="shared" si="8"/>
        <v>0.82328482328482333</v>
      </c>
      <c r="Y37">
        <f t="shared" si="22"/>
        <v>272</v>
      </c>
      <c r="Z37">
        <f t="shared" si="23"/>
        <v>8</v>
      </c>
      <c r="AA37">
        <f t="shared" si="9"/>
        <v>37</v>
      </c>
      <c r="AB37">
        <f t="shared" si="24"/>
        <v>37</v>
      </c>
      <c r="AC37">
        <f t="shared" si="10"/>
        <v>34</v>
      </c>
      <c r="AD37">
        <f t="shared" si="11"/>
        <v>0.16943866943866948</v>
      </c>
      <c r="AE37">
        <f t="shared" si="12"/>
        <v>0.16943866943866948</v>
      </c>
    </row>
    <row r="38" spans="11:31" x14ac:dyDescent="0.55000000000000004">
      <c r="K38">
        <f t="shared" si="36"/>
        <v>268</v>
      </c>
      <c r="L38">
        <f t="shared" si="17"/>
        <v>8</v>
      </c>
      <c r="M38">
        <f t="shared" si="2"/>
        <v>19</v>
      </c>
      <c r="N38">
        <f t="shared" si="37"/>
        <v>38</v>
      </c>
      <c r="O38">
        <f t="shared" si="3"/>
        <v>0.5</v>
      </c>
      <c r="P38">
        <f t="shared" si="4"/>
        <v>0.50835020242914974</v>
      </c>
      <c r="Q38">
        <f t="shared" si="5"/>
        <v>0.50835020242914974</v>
      </c>
      <c r="R38">
        <f t="shared" si="19"/>
        <v>268</v>
      </c>
      <c r="S38">
        <f t="shared" si="20"/>
        <v>8</v>
      </c>
      <c r="T38">
        <v>0</v>
      </c>
      <c r="U38">
        <f t="shared" si="21"/>
        <v>38</v>
      </c>
      <c r="V38">
        <f t="shared" si="6"/>
        <v>33.5</v>
      </c>
      <c r="W38">
        <f t="shared" si="7"/>
        <v>0.83046558704453444</v>
      </c>
      <c r="X38">
        <f t="shared" si="8"/>
        <v>0.83046558704453444</v>
      </c>
      <c r="Y38">
        <f t="shared" si="22"/>
        <v>268</v>
      </c>
      <c r="Z38">
        <f t="shared" si="23"/>
        <v>8</v>
      </c>
      <c r="AA38">
        <f t="shared" si="9"/>
        <v>38</v>
      </c>
      <c r="AB38">
        <f t="shared" si="24"/>
        <v>38</v>
      </c>
      <c r="AC38">
        <f t="shared" si="10"/>
        <v>33.5</v>
      </c>
      <c r="AD38">
        <f t="shared" si="11"/>
        <v>0.18623481781376516</v>
      </c>
      <c r="AE38">
        <f t="shared" si="12"/>
        <v>0.18623481781376516</v>
      </c>
    </row>
    <row r="39" spans="11:31" x14ac:dyDescent="0.55000000000000004">
      <c r="K39">
        <f t="shared" si="36"/>
        <v>264</v>
      </c>
      <c r="L39">
        <f t="shared" si="17"/>
        <v>8</v>
      </c>
      <c r="M39">
        <f t="shared" si="2"/>
        <v>20</v>
      </c>
      <c r="N39">
        <f t="shared" si="37"/>
        <v>39</v>
      </c>
      <c r="O39">
        <f t="shared" si="3"/>
        <v>0.51282051282051277</v>
      </c>
      <c r="P39">
        <f t="shared" si="4"/>
        <v>0.51183431952662728</v>
      </c>
      <c r="Q39">
        <f t="shared" si="5"/>
        <v>0.51183431952662728</v>
      </c>
      <c r="R39">
        <f t="shared" si="19"/>
        <v>264</v>
      </c>
      <c r="S39">
        <f t="shared" si="20"/>
        <v>8</v>
      </c>
      <c r="T39">
        <v>0</v>
      </c>
      <c r="U39">
        <f t="shared" si="21"/>
        <v>39</v>
      </c>
      <c r="V39">
        <f t="shared" si="6"/>
        <v>33</v>
      </c>
      <c r="W39">
        <f t="shared" si="7"/>
        <v>0.8372781065088758</v>
      </c>
      <c r="X39">
        <f t="shared" si="8"/>
        <v>0.8372781065088758</v>
      </c>
      <c r="Y39">
        <f t="shared" si="22"/>
        <v>264</v>
      </c>
      <c r="Z39">
        <f t="shared" si="23"/>
        <v>8</v>
      </c>
      <c r="AA39">
        <f t="shared" si="9"/>
        <v>39</v>
      </c>
      <c r="AB39">
        <f t="shared" si="24"/>
        <v>39</v>
      </c>
      <c r="AC39">
        <f t="shared" si="10"/>
        <v>33</v>
      </c>
      <c r="AD39">
        <f t="shared" si="11"/>
        <v>0.20266272189349122</v>
      </c>
      <c r="AE39">
        <f t="shared" si="12"/>
        <v>0.20266272189349122</v>
      </c>
    </row>
    <row r="40" spans="11:31" x14ac:dyDescent="0.55000000000000004">
      <c r="K40">
        <f t="shared" si="36"/>
        <v>260</v>
      </c>
      <c r="L40">
        <f t="shared" si="17"/>
        <v>8</v>
      </c>
      <c r="M40">
        <f t="shared" si="2"/>
        <v>20</v>
      </c>
      <c r="N40">
        <f t="shared" si="37"/>
        <v>40</v>
      </c>
      <c r="O40">
        <f t="shared" si="3"/>
        <v>0.5</v>
      </c>
      <c r="P40">
        <f t="shared" si="4"/>
        <v>0.53125</v>
      </c>
      <c r="Q40">
        <f t="shared" si="5"/>
        <v>0.53125</v>
      </c>
      <c r="R40">
        <f t="shared" si="19"/>
        <v>260</v>
      </c>
      <c r="S40">
        <f t="shared" si="20"/>
        <v>8</v>
      </c>
      <c r="T40">
        <v>0</v>
      </c>
      <c r="U40">
        <f t="shared" si="21"/>
        <v>40</v>
      </c>
      <c r="V40">
        <f t="shared" si="6"/>
        <v>32.5</v>
      </c>
      <c r="W40">
        <f t="shared" si="7"/>
        <v>0.84375</v>
      </c>
      <c r="X40">
        <f t="shared" si="8"/>
        <v>0.84375</v>
      </c>
      <c r="Y40">
        <f t="shared" si="22"/>
        <v>260</v>
      </c>
      <c r="Z40">
        <f t="shared" si="23"/>
        <v>8</v>
      </c>
      <c r="AA40">
        <f t="shared" si="9"/>
        <v>40</v>
      </c>
      <c r="AB40">
        <f t="shared" si="24"/>
        <v>40</v>
      </c>
      <c r="AC40">
        <f t="shared" si="10"/>
        <v>32.5</v>
      </c>
      <c r="AD40">
        <f t="shared" si="11"/>
        <v>0.21875</v>
      </c>
      <c r="AE40">
        <f t="shared" si="12"/>
        <v>0.21875</v>
      </c>
    </row>
    <row r="41" spans="11:31" x14ac:dyDescent="0.55000000000000004">
      <c r="K41">
        <f t="shared" si="36"/>
        <v>256</v>
      </c>
      <c r="L41">
        <f t="shared" si="17"/>
        <v>8</v>
      </c>
      <c r="M41">
        <f t="shared" si="2"/>
        <v>21</v>
      </c>
      <c r="N41">
        <f t="shared" si="37"/>
        <v>41</v>
      </c>
      <c r="O41">
        <f t="shared" si="3"/>
        <v>0.51219512195121952</v>
      </c>
      <c r="P41">
        <f t="shared" si="4"/>
        <v>0.53470919324577859</v>
      </c>
      <c r="Q41">
        <f t="shared" si="5"/>
        <v>0.53470919324577859</v>
      </c>
      <c r="R41">
        <f t="shared" si="19"/>
        <v>256</v>
      </c>
      <c r="S41">
        <f t="shared" si="20"/>
        <v>8</v>
      </c>
      <c r="T41">
        <v>0</v>
      </c>
      <c r="U41">
        <f t="shared" si="21"/>
        <v>41</v>
      </c>
      <c r="V41">
        <f t="shared" si="6"/>
        <v>32</v>
      </c>
      <c r="W41">
        <f t="shared" si="7"/>
        <v>0.84990619136960599</v>
      </c>
      <c r="X41">
        <f t="shared" si="8"/>
        <v>0.84990619136960599</v>
      </c>
      <c r="Y41">
        <f t="shared" si="22"/>
        <v>256</v>
      </c>
      <c r="Z41">
        <f t="shared" si="23"/>
        <v>8</v>
      </c>
      <c r="AA41">
        <f t="shared" si="9"/>
        <v>41</v>
      </c>
      <c r="AB41">
        <f t="shared" si="24"/>
        <v>41</v>
      </c>
      <c r="AC41">
        <f t="shared" si="10"/>
        <v>32</v>
      </c>
      <c r="AD41">
        <f t="shared" si="11"/>
        <v>0.23452157598499057</v>
      </c>
      <c r="AE41">
        <f t="shared" si="12"/>
        <v>0.23452157598499057</v>
      </c>
    </row>
    <row r="42" spans="11:31" x14ac:dyDescent="0.55000000000000004">
      <c r="K42">
        <f t="shared" si="36"/>
        <v>252</v>
      </c>
      <c r="L42">
        <f t="shared" si="17"/>
        <v>8</v>
      </c>
      <c r="M42">
        <f t="shared" si="2"/>
        <v>21</v>
      </c>
      <c r="N42">
        <f t="shared" si="37"/>
        <v>42</v>
      </c>
      <c r="O42">
        <f t="shared" si="3"/>
        <v>0.5</v>
      </c>
      <c r="P42">
        <f t="shared" si="4"/>
        <v>0.55288461538461542</v>
      </c>
      <c r="Q42">
        <f t="shared" si="5"/>
        <v>0.55288461538461542</v>
      </c>
      <c r="R42">
        <f t="shared" si="19"/>
        <v>252</v>
      </c>
      <c r="S42">
        <f t="shared" si="20"/>
        <v>8</v>
      </c>
      <c r="T42">
        <v>0</v>
      </c>
      <c r="U42">
        <f t="shared" si="21"/>
        <v>42</v>
      </c>
      <c r="V42">
        <f t="shared" si="6"/>
        <v>31.5</v>
      </c>
      <c r="W42">
        <f t="shared" si="7"/>
        <v>0.85576923076923084</v>
      </c>
      <c r="X42">
        <f t="shared" si="8"/>
        <v>0.85576923076923084</v>
      </c>
      <c r="Y42">
        <f t="shared" si="22"/>
        <v>252</v>
      </c>
      <c r="Z42">
        <f t="shared" si="23"/>
        <v>8</v>
      </c>
      <c r="AA42">
        <f t="shared" si="9"/>
        <v>42</v>
      </c>
      <c r="AB42">
        <f t="shared" si="24"/>
        <v>42</v>
      </c>
      <c r="AC42">
        <f t="shared" si="10"/>
        <v>31.5</v>
      </c>
      <c r="AD42">
        <f t="shared" si="11"/>
        <v>0.25</v>
      </c>
      <c r="AE42">
        <f t="shared" si="12"/>
        <v>0.25</v>
      </c>
    </row>
    <row r="43" spans="11:31" x14ac:dyDescent="0.55000000000000004">
      <c r="K43">
        <f t="shared" si="36"/>
        <v>248</v>
      </c>
      <c r="L43">
        <f t="shared" si="17"/>
        <v>8</v>
      </c>
      <c r="M43">
        <f t="shared" si="2"/>
        <v>22</v>
      </c>
      <c r="N43">
        <f t="shared" si="37"/>
        <v>43</v>
      </c>
      <c r="O43">
        <f t="shared" si="3"/>
        <v>0.51162790697674421</v>
      </c>
      <c r="P43">
        <f t="shared" si="4"/>
        <v>0.55635062611806796</v>
      </c>
      <c r="Q43">
        <f t="shared" si="5"/>
        <v>0.55635062611806796</v>
      </c>
      <c r="R43">
        <f t="shared" si="19"/>
        <v>248</v>
      </c>
      <c r="S43">
        <f t="shared" si="20"/>
        <v>8</v>
      </c>
      <c r="T43">
        <v>0</v>
      </c>
      <c r="U43">
        <f t="shared" si="21"/>
        <v>43</v>
      </c>
      <c r="V43">
        <f t="shared" si="6"/>
        <v>31</v>
      </c>
      <c r="W43">
        <f t="shared" si="7"/>
        <v>0.86135957066189628</v>
      </c>
      <c r="X43">
        <f t="shared" si="8"/>
        <v>0.86135957066189628</v>
      </c>
      <c r="Y43">
        <f t="shared" si="22"/>
        <v>248</v>
      </c>
      <c r="Z43">
        <f t="shared" si="23"/>
        <v>8</v>
      </c>
      <c r="AA43">
        <f t="shared" si="9"/>
        <v>43</v>
      </c>
      <c r="AB43">
        <f t="shared" si="24"/>
        <v>43</v>
      </c>
      <c r="AC43">
        <f t="shared" si="10"/>
        <v>31</v>
      </c>
      <c r="AD43">
        <f t="shared" si="11"/>
        <v>0.26520572450805013</v>
      </c>
      <c r="AE43">
        <f t="shared" si="12"/>
        <v>0.26520572450805013</v>
      </c>
    </row>
    <row r="44" spans="11:31" x14ac:dyDescent="0.55000000000000004">
      <c r="K44">
        <f t="shared" si="36"/>
        <v>244</v>
      </c>
      <c r="L44">
        <f t="shared" si="17"/>
        <v>8</v>
      </c>
      <c r="M44">
        <f t="shared" si="2"/>
        <v>22</v>
      </c>
      <c r="N44">
        <f t="shared" si="37"/>
        <v>44</v>
      </c>
      <c r="O44">
        <f t="shared" si="3"/>
        <v>0.5</v>
      </c>
      <c r="P44">
        <f t="shared" si="4"/>
        <v>0.57342657342657333</v>
      </c>
      <c r="Q44">
        <f t="shared" si="5"/>
        <v>0.57342657342657333</v>
      </c>
      <c r="R44">
        <f t="shared" si="19"/>
        <v>244</v>
      </c>
      <c r="S44">
        <f t="shared" si="20"/>
        <v>8</v>
      </c>
      <c r="T44">
        <v>0</v>
      </c>
      <c r="U44">
        <f t="shared" si="21"/>
        <v>44</v>
      </c>
      <c r="V44">
        <f t="shared" si="6"/>
        <v>30.5</v>
      </c>
      <c r="W44">
        <f t="shared" si="7"/>
        <v>0.86669580419580416</v>
      </c>
      <c r="X44">
        <f t="shared" si="8"/>
        <v>0.86669580419580416</v>
      </c>
      <c r="Y44">
        <f t="shared" si="22"/>
        <v>244</v>
      </c>
      <c r="Z44">
        <f t="shared" si="23"/>
        <v>8</v>
      </c>
      <c r="AA44">
        <f t="shared" si="9"/>
        <v>44</v>
      </c>
      <c r="AB44">
        <f t="shared" si="24"/>
        <v>44</v>
      </c>
      <c r="AC44">
        <f t="shared" si="10"/>
        <v>30.5</v>
      </c>
      <c r="AD44">
        <f t="shared" si="11"/>
        <v>0.2801573426573426</v>
      </c>
      <c r="AE44">
        <f t="shared" si="12"/>
        <v>0.2801573426573426</v>
      </c>
    </row>
    <row r="45" spans="11:31" x14ac:dyDescent="0.55000000000000004">
      <c r="K45">
        <f t="shared" si="36"/>
        <v>240</v>
      </c>
      <c r="L45">
        <f t="shared" si="17"/>
        <v>8</v>
      </c>
      <c r="M45">
        <f t="shared" si="2"/>
        <v>23</v>
      </c>
      <c r="N45">
        <f t="shared" si="37"/>
        <v>45</v>
      </c>
      <c r="O45">
        <f t="shared" si="3"/>
        <v>0.51111111111111107</v>
      </c>
      <c r="P45">
        <f t="shared" si="4"/>
        <v>0.57692307692307698</v>
      </c>
      <c r="Q45">
        <f t="shared" si="5"/>
        <v>0.57692307692307698</v>
      </c>
      <c r="R45">
        <f t="shared" si="19"/>
        <v>240</v>
      </c>
      <c r="S45">
        <f t="shared" si="20"/>
        <v>8</v>
      </c>
      <c r="T45">
        <v>0</v>
      </c>
      <c r="U45">
        <f t="shared" si="21"/>
        <v>45</v>
      </c>
      <c r="V45">
        <f t="shared" si="6"/>
        <v>30</v>
      </c>
      <c r="W45">
        <f t="shared" si="7"/>
        <v>0.87179487179487181</v>
      </c>
      <c r="X45">
        <f t="shared" si="8"/>
        <v>0.87179487179487181</v>
      </c>
      <c r="Y45">
        <f t="shared" si="22"/>
        <v>240</v>
      </c>
      <c r="Z45">
        <f t="shared" si="23"/>
        <v>8</v>
      </c>
      <c r="AA45">
        <f t="shared" si="9"/>
        <v>45</v>
      </c>
      <c r="AB45">
        <f t="shared" si="24"/>
        <v>45</v>
      </c>
      <c r="AC45">
        <f t="shared" si="10"/>
        <v>30</v>
      </c>
      <c r="AD45">
        <f t="shared" si="11"/>
        <v>0.29487179487179482</v>
      </c>
      <c r="AE45">
        <f t="shared" si="12"/>
        <v>0.29487179487179482</v>
      </c>
    </row>
    <row r="46" spans="11:31" x14ac:dyDescent="0.55000000000000004">
      <c r="K46">
        <f t="shared" si="36"/>
        <v>236</v>
      </c>
      <c r="L46">
        <f t="shared" si="17"/>
        <v>8</v>
      </c>
      <c r="M46">
        <f t="shared" si="2"/>
        <v>23</v>
      </c>
      <c r="N46">
        <f t="shared" si="37"/>
        <v>46</v>
      </c>
      <c r="O46">
        <f t="shared" si="3"/>
        <v>0.5</v>
      </c>
      <c r="P46">
        <f t="shared" si="4"/>
        <v>0.59301839464882944</v>
      </c>
      <c r="Q46">
        <f t="shared" si="5"/>
        <v>0.59301839464882944</v>
      </c>
      <c r="R46">
        <f t="shared" si="19"/>
        <v>236</v>
      </c>
      <c r="S46">
        <f t="shared" si="20"/>
        <v>8</v>
      </c>
      <c r="T46">
        <v>0</v>
      </c>
      <c r="U46">
        <f t="shared" si="21"/>
        <v>46</v>
      </c>
      <c r="V46">
        <f t="shared" si="6"/>
        <v>29.5</v>
      </c>
      <c r="W46">
        <f t="shared" si="7"/>
        <v>0.87667224080267558</v>
      </c>
      <c r="X46">
        <f t="shared" si="8"/>
        <v>0.87667224080267558</v>
      </c>
      <c r="Y46">
        <f t="shared" si="22"/>
        <v>236</v>
      </c>
      <c r="Z46">
        <f t="shared" si="23"/>
        <v>8</v>
      </c>
      <c r="AA46">
        <f t="shared" si="9"/>
        <v>46</v>
      </c>
      <c r="AB46">
        <f t="shared" si="24"/>
        <v>46</v>
      </c>
      <c r="AC46">
        <f t="shared" si="10"/>
        <v>29.5</v>
      </c>
      <c r="AD46">
        <f t="shared" si="11"/>
        <v>0.30936454849498329</v>
      </c>
      <c r="AE46">
        <f t="shared" si="12"/>
        <v>0.30936454849498329</v>
      </c>
    </row>
    <row r="47" spans="11:31" x14ac:dyDescent="0.55000000000000004">
      <c r="K47">
        <f t="shared" si="36"/>
        <v>232</v>
      </c>
      <c r="L47">
        <f t="shared" si="17"/>
        <v>8</v>
      </c>
      <c r="M47">
        <f t="shared" si="2"/>
        <v>24</v>
      </c>
      <c r="N47">
        <f t="shared" si="37"/>
        <v>47</v>
      </c>
      <c r="O47">
        <f t="shared" si="3"/>
        <v>0.51063829787234039</v>
      </c>
      <c r="P47">
        <f t="shared" si="4"/>
        <v>0.59656301145662849</v>
      </c>
      <c r="Q47">
        <f t="shared" si="5"/>
        <v>0.59656301145662849</v>
      </c>
      <c r="R47">
        <f t="shared" si="19"/>
        <v>232</v>
      </c>
      <c r="S47">
        <f t="shared" si="20"/>
        <v>8</v>
      </c>
      <c r="T47">
        <v>0</v>
      </c>
      <c r="U47">
        <f t="shared" si="21"/>
        <v>47</v>
      </c>
      <c r="V47">
        <f t="shared" si="6"/>
        <v>29</v>
      </c>
      <c r="W47">
        <f t="shared" si="7"/>
        <v>0.88134206219312605</v>
      </c>
      <c r="X47">
        <f t="shared" si="8"/>
        <v>0.88134206219312605</v>
      </c>
      <c r="Y47">
        <f t="shared" si="22"/>
        <v>232</v>
      </c>
      <c r="Z47">
        <f t="shared" si="23"/>
        <v>8</v>
      </c>
      <c r="AA47">
        <f t="shared" si="9"/>
        <v>47</v>
      </c>
      <c r="AB47">
        <f t="shared" si="24"/>
        <v>47</v>
      </c>
      <c r="AC47">
        <f t="shared" si="10"/>
        <v>29</v>
      </c>
      <c r="AD47">
        <f t="shared" si="11"/>
        <v>0.32364975450081823</v>
      </c>
      <c r="AE47">
        <f t="shared" si="12"/>
        <v>0.32364975450081823</v>
      </c>
    </row>
    <row r="48" spans="11:31" x14ac:dyDescent="0.55000000000000004">
      <c r="K48">
        <f t="shared" si="36"/>
        <v>228</v>
      </c>
      <c r="L48">
        <f t="shared" si="17"/>
        <v>8</v>
      </c>
      <c r="M48">
        <f t="shared" si="2"/>
        <v>24</v>
      </c>
      <c r="N48">
        <f t="shared" si="37"/>
        <v>48</v>
      </c>
      <c r="O48">
        <f t="shared" si="3"/>
        <v>0.5</v>
      </c>
      <c r="P48">
        <f t="shared" si="4"/>
        <v>0.61177884615384603</v>
      </c>
      <c r="Q48">
        <f t="shared" si="5"/>
        <v>0.61177884615384603</v>
      </c>
      <c r="R48">
        <f t="shared" si="19"/>
        <v>228</v>
      </c>
      <c r="S48">
        <f t="shared" si="20"/>
        <v>8</v>
      </c>
      <c r="T48">
        <v>0</v>
      </c>
      <c r="U48">
        <f t="shared" si="21"/>
        <v>48</v>
      </c>
      <c r="V48">
        <f t="shared" si="6"/>
        <v>28.5</v>
      </c>
      <c r="W48">
        <f t="shared" si="7"/>
        <v>0.88581730769230771</v>
      </c>
      <c r="X48">
        <f t="shared" si="8"/>
        <v>0.88581730769230771</v>
      </c>
      <c r="Y48">
        <f t="shared" si="22"/>
        <v>228</v>
      </c>
      <c r="Z48">
        <f t="shared" si="23"/>
        <v>8</v>
      </c>
      <c r="AA48">
        <f t="shared" si="9"/>
        <v>48</v>
      </c>
      <c r="AB48">
        <f t="shared" si="24"/>
        <v>48</v>
      </c>
      <c r="AC48">
        <f t="shared" si="10"/>
        <v>28.5</v>
      </c>
      <c r="AD48">
        <f t="shared" si="11"/>
        <v>0.33774038461538458</v>
      </c>
      <c r="AE48">
        <f t="shared" si="12"/>
        <v>0.33774038461538458</v>
      </c>
    </row>
    <row r="49" spans="11:31" x14ac:dyDescent="0.55000000000000004">
      <c r="K49">
        <f t="shared" si="36"/>
        <v>224</v>
      </c>
      <c r="L49">
        <f t="shared" si="17"/>
        <v>8</v>
      </c>
      <c r="M49">
        <f t="shared" si="2"/>
        <v>25</v>
      </c>
      <c r="N49">
        <f t="shared" si="37"/>
        <v>49</v>
      </c>
      <c r="O49">
        <f t="shared" si="3"/>
        <v>0.51020408163265307</v>
      </c>
      <c r="P49">
        <f t="shared" si="4"/>
        <v>0.61538461538461542</v>
      </c>
      <c r="Q49">
        <f t="shared" si="5"/>
        <v>0.61538461538461542</v>
      </c>
      <c r="R49">
        <f t="shared" si="19"/>
        <v>224</v>
      </c>
      <c r="S49">
        <f t="shared" si="20"/>
        <v>8</v>
      </c>
      <c r="T49">
        <v>0</v>
      </c>
      <c r="U49">
        <f t="shared" si="21"/>
        <v>49</v>
      </c>
      <c r="V49">
        <f t="shared" si="6"/>
        <v>28</v>
      </c>
      <c r="W49">
        <f t="shared" si="7"/>
        <v>0.89010989010989006</v>
      </c>
      <c r="X49">
        <f t="shared" si="8"/>
        <v>0.89010989010989006</v>
      </c>
      <c r="Y49">
        <f t="shared" si="22"/>
        <v>224</v>
      </c>
      <c r="Z49">
        <f t="shared" si="23"/>
        <v>8</v>
      </c>
      <c r="AA49">
        <f t="shared" si="9"/>
        <v>49</v>
      </c>
      <c r="AB49">
        <f t="shared" si="24"/>
        <v>49</v>
      </c>
      <c r="AC49">
        <f t="shared" si="10"/>
        <v>28</v>
      </c>
      <c r="AD49">
        <f t="shared" si="11"/>
        <v>0.35164835164835173</v>
      </c>
      <c r="AE49">
        <f t="shared" si="12"/>
        <v>0.35164835164835173</v>
      </c>
    </row>
    <row r="50" spans="11:31" x14ac:dyDescent="0.55000000000000004">
      <c r="K50">
        <f t="shared" si="36"/>
        <v>220</v>
      </c>
      <c r="L50">
        <f t="shared" si="17"/>
        <v>8</v>
      </c>
      <c r="M50">
        <f t="shared" si="2"/>
        <v>25</v>
      </c>
      <c r="N50">
        <f t="shared" si="37"/>
        <v>50</v>
      </c>
      <c r="O50">
        <f t="shared" si="3"/>
        <v>0.5</v>
      </c>
      <c r="P50">
        <f t="shared" si="4"/>
        <v>0.62980769230769229</v>
      </c>
      <c r="Q50">
        <f t="shared" si="5"/>
        <v>0.62980769230769229</v>
      </c>
      <c r="R50">
        <f t="shared" si="19"/>
        <v>220</v>
      </c>
      <c r="S50">
        <f t="shared" si="20"/>
        <v>8</v>
      </c>
      <c r="T50">
        <v>0</v>
      </c>
      <c r="U50">
        <f t="shared" si="21"/>
        <v>50</v>
      </c>
      <c r="V50">
        <f t="shared" si="6"/>
        <v>27.5</v>
      </c>
      <c r="W50">
        <f t="shared" si="7"/>
        <v>0.89423076923076916</v>
      </c>
      <c r="X50">
        <f t="shared" si="8"/>
        <v>0.89423076923076916</v>
      </c>
      <c r="Y50">
        <f t="shared" si="22"/>
        <v>220</v>
      </c>
      <c r="Z50">
        <f t="shared" si="23"/>
        <v>8</v>
      </c>
      <c r="AA50">
        <f t="shared" si="9"/>
        <v>50</v>
      </c>
      <c r="AB50">
        <f t="shared" si="24"/>
        <v>50</v>
      </c>
      <c r="AC50">
        <f t="shared" si="10"/>
        <v>27.5</v>
      </c>
      <c r="AD50">
        <f t="shared" si="11"/>
        <v>0.36538461538461542</v>
      </c>
      <c r="AE50">
        <f t="shared" si="12"/>
        <v>0.36538461538461542</v>
      </c>
    </row>
    <row r="51" spans="11:31" x14ac:dyDescent="0.55000000000000004">
      <c r="K51">
        <f t="shared" si="36"/>
        <v>216</v>
      </c>
      <c r="L51">
        <f t="shared" si="17"/>
        <v>8</v>
      </c>
      <c r="M51">
        <f t="shared" si="2"/>
        <v>26</v>
      </c>
      <c r="N51">
        <f t="shared" si="37"/>
        <v>51</v>
      </c>
      <c r="O51">
        <f t="shared" si="3"/>
        <v>0.50980392156862742</v>
      </c>
      <c r="P51">
        <f t="shared" si="4"/>
        <v>0.63348416289592757</v>
      </c>
      <c r="Q51">
        <f t="shared" si="5"/>
        <v>0.63348416289592757</v>
      </c>
      <c r="R51">
        <f t="shared" si="19"/>
        <v>216</v>
      </c>
      <c r="S51">
        <f t="shared" si="20"/>
        <v>8</v>
      </c>
      <c r="T51">
        <v>0</v>
      </c>
      <c r="U51">
        <f t="shared" si="21"/>
        <v>51</v>
      </c>
      <c r="V51">
        <f t="shared" si="6"/>
        <v>27</v>
      </c>
      <c r="W51">
        <f t="shared" si="7"/>
        <v>0.89819004524886881</v>
      </c>
      <c r="X51">
        <f t="shared" si="8"/>
        <v>0.89819004524886881</v>
      </c>
      <c r="Y51">
        <f t="shared" si="22"/>
        <v>216</v>
      </c>
      <c r="Z51">
        <f t="shared" si="23"/>
        <v>8</v>
      </c>
      <c r="AA51">
        <f t="shared" si="9"/>
        <v>51</v>
      </c>
      <c r="AB51">
        <f t="shared" si="24"/>
        <v>51</v>
      </c>
      <c r="AC51">
        <f t="shared" si="10"/>
        <v>27</v>
      </c>
      <c r="AD51">
        <f t="shared" si="11"/>
        <v>0.37895927601809953</v>
      </c>
      <c r="AE51">
        <f t="shared" si="12"/>
        <v>0.37895927601809953</v>
      </c>
    </row>
    <row r="52" spans="11:31" x14ac:dyDescent="0.55000000000000004">
      <c r="K52">
        <f t="shared" si="36"/>
        <v>212</v>
      </c>
      <c r="L52">
        <f t="shared" si="17"/>
        <v>8</v>
      </c>
      <c r="M52">
        <f t="shared" si="2"/>
        <v>26</v>
      </c>
      <c r="N52">
        <f t="shared" si="37"/>
        <v>52</v>
      </c>
      <c r="O52">
        <f t="shared" si="3"/>
        <v>0.5</v>
      </c>
      <c r="P52">
        <f t="shared" si="4"/>
        <v>0.64718934911242609</v>
      </c>
      <c r="Q52">
        <f t="shared" si="5"/>
        <v>0.64718934911242609</v>
      </c>
      <c r="R52">
        <f t="shared" si="19"/>
        <v>212</v>
      </c>
      <c r="S52">
        <f t="shared" si="20"/>
        <v>8</v>
      </c>
      <c r="T52">
        <v>0</v>
      </c>
      <c r="U52">
        <f t="shared" si="21"/>
        <v>52</v>
      </c>
      <c r="V52">
        <f t="shared" si="6"/>
        <v>26.5</v>
      </c>
      <c r="W52">
        <f t="shared" si="7"/>
        <v>0.90199704142011838</v>
      </c>
      <c r="X52">
        <f t="shared" si="8"/>
        <v>0.90199704142011838</v>
      </c>
      <c r="Y52">
        <f t="shared" si="22"/>
        <v>212</v>
      </c>
      <c r="Z52">
        <f t="shared" si="23"/>
        <v>8</v>
      </c>
      <c r="AA52">
        <f t="shared" si="9"/>
        <v>52</v>
      </c>
      <c r="AB52">
        <f t="shared" si="24"/>
        <v>52</v>
      </c>
      <c r="AC52">
        <f t="shared" si="10"/>
        <v>26.5</v>
      </c>
      <c r="AD52">
        <f t="shared" si="11"/>
        <v>0.3923816568047338</v>
      </c>
      <c r="AE52">
        <f t="shared" si="12"/>
        <v>0.3923816568047338</v>
      </c>
    </row>
    <row r="53" spans="11:31" x14ac:dyDescent="0.55000000000000004">
      <c r="K53">
        <f t="shared" si="36"/>
        <v>208</v>
      </c>
      <c r="L53">
        <f t="shared" si="17"/>
        <v>8</v>
      </c>
      <c r="M53">
        <f t="shared" si="2"/>
        <v>27</v>
      </c>
      <c r="N53">
        <f t="shared" si="37"/>
        <v>53</v>
      </c>
      <c r="O53">
        <f t="shared" si="3"/>
        <v>0.50943396226415094</v>
      </c>
      <c r="P53">
        <f t="shared" si="4"/>
        <v>0.65094339622641506</v>
      </c>
      <c r="Q53">
        <f t="shared" si="5"/>
        <v>0.65094339622641506</v>
      </c>
      <c r="R53">
        <f t="shared" si="19"/>
        <v>208</v>
      </c>
      <c r="S53">
        <f t="shared" si="20"/>
        <v>8</v>
      </c>
      <c r="T53">
        <v>0</v>
      </c>
      <c r="U53">
        <f t="shared" si="21"/>
        <v>53</v>
      </c>
      <c r="V53">
        <f t="shared" si="6"/>
        <v>26</v>
      </c>
      <c r="W53">
        <f t="shared" si="7"/>
        <v>0.90566037735849059</v>
      </c>
      <c r="X53">
        <f t="shared" si="8"/>
        <v>0.90566037735849059</v>
      </c>
      <c r="Y53">
        <f t="shared" si="22"/>
        <v>208</v>
      </c>
      <c r="Z53">
        <f t="shared" si="23"/>
        <v>8</v>
      </c>
      <c r="AA53">
        <f t="shared" si="9"/>
        <v>53</v>
      </c>
      <c r="AB53">
        <f t="shared" si="24"/>
        <v>53</v>
      </c>
      <c r="AC53">
        <f t="shared" si="10"/>
        <v>26</v>
      </c>
      <c r="AD53">
        <f t="shared" si="11"/>
        <v>0.40566037735849059</v>
      </c>
      <c r="AE53">
        <f t="shared" si="12"/>
        <v>0.40566037735849059</v>
      </c>
    </row>
    <row r="54" spans="11:31" x14ac:dyDescent="0.55000000000000004">
      <c r="K54">
        <f t="shared" si="36"/>
        <v>204</v>
      </c>
      <c r="L54">
        <f t="shared" si="17"/>
        <v>8</v>
      </c>
      <c r="M54">
        <f t="shared" si="2"/>
        <v>27</v>
      </c>
      <c r="N54">
        <f t="shared" si="37"/>
        <v>54</v>
      </c>
      <c r="O54">
        <f t="shared" si="3"/>
        <v>0.5</v>
      </c>
      <c r="P54">
        <f t="shared" si="4"/>
        <v>0.66399572649572647</v>
      </c>
      <c r="Q54">
        <f t="shared" si="5"/>
        <v>0.66399572649572647</v>
      </c>
      <c r="R54">
        <f t="shared" si="19"/>
        <v>204</v>
      </c>
      <c r="S54">
        <f t="shared" si="20"/>
        <v>8</v>
      </c>
      <c r="T54">
        <v>0</v>
      </c>
      <c r="U54">
        <f t="shared" si="21"/>
        <v>54</v>
      </c>
      <c r="V54">
        <f t="shared" si="6"/>
        <v>25.5</v>
      </c>
      <c r="W54">
        <f t="shared" si="7"/>
        <v>0.90918803418803418</v>
      </c>
      <c r="X54">
        <f t="shared" si="8"/>
        <v>0.90918803418803418</v>
      </c>
      <c r="Y54">
        <f t="shared" si="22"/>
        <v>204</v>
      </c>
      <c r="Z54">
        <f t="shared" si="23"/>
        <v>8</v>
      </c>
      <c r="AA54">
        <f t="shared" si="9"/>
        <v>54</v>
      </c>
      <c r="AB54">
        <f t="shared" si="24"/>
        <v>54</v>
      </c>
      <c r="AC54">
        <f t="shared" si="10"/>
        <v>25.5</v>
      </c>
      <c r="AD54">
        <f t="shared" si="11"/>
        <v>0.41880341880341887</v>
      </c>
      <c r="AE54">
        <f t="shared" si="12"/>
        <v>0.41880341880341887</v>
      </c>
    </row>
    <row r="55" spans="11:31" x14ac:dyDescent="0.55000000000000004">
      <c r="K55">
        <f t="shared" si="36"/>
        <v>200</v>
      </c>
      <c r="L55">
        <f t="shared" si="17"/>
        <v>8</v>
      </c>
      <c r="M55">
        <f t="shared" si="2"/>
        <v>28</v>
      </c>
      <c r="N55">
        <f t="shared" si="37"/>
        <v>55</v>
      </c>
      <c r="O55">
        <f t="shared" si="3"/>
        <v>0.50909090909090904</v>
      </c>
      <c r="P55">
        <f t="shared" si="4"/>
        <v>0.66783216783216781</v>
      </c>
      <c r="Q55">
        <f t="shared" si="5"/>
        <v>0.66783216783216781</v>
      </c>
      <c r="R55">
        <f t="shared" si="19"/>
        <v>200</v>
      </c>
      <c r="S55">
        <f t="shared" si="20"/>
        <v>8</v>
      </c>
      <c r="T55">
        <v>0</v>
      </c>
      <c r="U55">
        <f t="shared" si="21"/>
        <v>55</v>
      </c>
      <c r="V55">
        <f t="shared" si="6"/>
        <v>25</v>
      </c>
      <c r="W55">
        <f t="shared" si="7"/>
        <v>0.91258741258741261</v>
      </c>
      <c r="X55">
        <f t="shared" si="8"/>
        <v>0.91258741258741261</v>
      </c>
      <c r="Y55">
        <f t="shared" si="22"/>
        <v>200</v>
      </c>
      <c r="Z55">
        <f t="shared" si="23"/>
        <v>8</v>
      </c>
      <c r="AA55">
        <f t="shared" si="9"/>
        <v>55</v>
      </c>
      <c r="AB55">
        <f t="shared" si="24"/>
        <v>55</v>
      </c>
      <c r="AC55">
        <f t="shared" si="10"/>
        <v>25</v>
      </c>
      <c r="AD55">
        <f t="shared" si="11"/>
        <v>0.43181818181818177</v>
      </c>
      <c r="AE55">
        <f t="shared" si="12"/>
        <v>0.43181818181818177</v>
      </c>
    </row>
    <row r="56" spans="11:31" x14ac:dyDescent="0.55000000000000004">
      <c r="K56">
        <f t="shared" si="36"/>
        <v>196</v>
      </c>
      <c r="L56">
        <f t="shared" si="17"/>
        <v>8</v>
      </c>
      <c r="M56">
        <f t="shared" si="2"/>
        <v>28</v>
      </c>
      <c r="N56">
        <f t="shared" si="37"/>
        <v>56</v>
      </c>
      <c r="O56">
        <f t="shared" si="3"/>
        <v>0.5</v>
      </c>
      <c r="P56">
        <f t="shared" si="4"/>
        <v>0.68028846153846145</v>
      </c>
      <c r="Q56">
        <f t="shared" si="5"/>
        <v>0.68028846153846145</v>
      </c>
      <c r="R56">
        <f t="shared" si="19"/>
        <v>196</v>
      </c>
      <c r="S56">
        <f t="shared" si="20"/>
        <v>8</v>
      </c>
      <c r="T56">
        <v>0</v>
      </c>
      <c r="U56">
        <f t="shared" si="21"/>
        <v>56</v>
      </c>
      <c r="V56">
        <f t="shared" si="6"/>
        <v>24.5</v>
      </c>
      <c r="W56">
        <f t="shared" si="7"/>
        <v>0.91586538461538458</v>
      </c>
      <c r="X56">
        <f t="shared" si="8"/>
        <v>0.91586538461538458</v>
      </c>
      <c r="Y56">
        <f t="shared" si="22"/>
        <v>196</v>
      </c>
      <c r="Z56">
        <f t="shared" si="23"/>
        <v>8</v>
      </c>
      <c r="AA56">
        <f t="shared" si="9"/>
        <v>56</v>
      </c>
      <c r="AB56">
        <f t="shared" si="24"/>
        <v>56</v>
      </c>
      <c r="AC56">
        <f t="shared" si="10"/>
        <v>24.5</v>
      </c>
      <c r="AD56">
        <f t="shared" si="11"/>
        <v>0.44471153846153844</v>
      </c>
      <c r="AE56">
        <f t="shared" si="12"/>
        <v>0.44471153846153844</v>
      </c>
    </row>
    <row r="57" spans="11:31" x14ac:dyDescent="0.55000000000000004">
      <c r="K57">
        <f t="shared" si="36"/>
        <v>192</v>
      </c>
      <c r="L57">
        <f t="shared" si="17"/>
        <v>8</v>
      </c>
      <c r="M57">
        <f t="shared" si="2"/>
        <v>29</v>
      </c>
      <c r="N57">
        <f t="shared" si="37"/>
        <v>57</v>
      </c>
      <c r="O57">
        <f t="shared" si="3"/>
        <v>0.50877192982456143</v>
      </c>
      <c r="P57">
        <f t="shared" si="4"/>
        <v>0.68421052631578938</v>
      </c>
      <c r="Q57">
        <f t="shared" si="5"/>
        <v>0.68421052631578938</v>
      </c>
      <c r="R57">
        <f t="shared" si="19"/>
        <v>192</v>
      </c>
      <c r="S57">
        <f t="shared" si="20"/>
        <v>8</v>
      </c>
      <c r="T57">
        <v>0</v>
      </c>
      <c r="U57">
        <f t="shared" si="21"/>
        <v>57</v>
      </c>
      <c r="V57">
        <f t="shared" si="6"/>
        <v>24</v>
      </c>
      <c r="W57">
        <f t="shared" si="7"/>
        <v>0.91902834008097167</v>
      </c>
      <c r="X57">
        <f t="shared" si="8"/>
        <v>0.91902834008097167</v>
      </c>
      <c r="Y57">
        <f t="shared" si="22"/>
        <v>192</v>
      </c>
      <c r="Z57">
        <f t="shared" si="23"/>
        <v>8</v>
      </c>
      <c r="AA57">
        <f t="shared" si="9"/>
        <v>57</v>
      </c>
      <c r="AB57">
        <f t="shared" si="24"/>
        <v>57</v>
      </c>
      <c r="AC57">
        <f t="shared" si="10"/>
        <v>24</v>
      </c>
      <c r="AD57">
        <f t="shared" si="11"/>
        <v>0.45748987854251</v>
      </c>
      <c r="AE57">
        <f t="shared" si="12"/>
        <v>0.45748987854251</v>
      </c>
    </row>
    <row r="58" spans="11:31" x14ac:dyDescent="0.55000000000000004">
      <c r="K58">
        <f t="shared" si="36"/>
        <v>188</v>
      </c>
      <c r="L58">
        <f t="shared" si="17"/>
        <v>8</v>
      </c>
      <c r="M58">
        <f t="shared" si="2"/>
        <v>29</v>
      </c>
      <c r="N58">
        <f t="shared" si="37"/>
        <v>58</v>
      </c>
      <c r="O58">
        <f t="shared" si="3"/>
        <v>0.5</v>
      </c>
      <c r="P58">
        <f t="shared" si="4"/>
        <v>0.69612068965517238</v>
      </c>
      <c r="Q58">
        <f t="shared" si="5"/>
        <v>0.69612068965517238</v>
      </c>
      <c r="R58">
        <f t="shared" si="19"/>
        <v>188</v>
      </c>
      <c r="S58">
        <f t="shared" si="20"/>
        <v>8</v>
      </c>
      <c r="T58">
        <v>0</v>
      </c>
      <c r="U58">
        <f t="shared" si="21"/>
        <v>58</v>
      </c>
      <c r="V58">
        <f t="shared" si="6"/>
        <v>23.5</v>
      </c>
      <c r="W58">
        <f t="shared" si="7"/>
        <v>0.92208222811671092</v>
      </c>
      <c r="X58">
        <f t="shared" si="8"/>
        <v>0.92208222811671092</v>
      </c>
      <c r="Y58">
        <f t="shared" si="22"/>
        <v>188</v>
      </c>
      <c r="Z58">
        <f t="shared" si="23"/>
        <v>8</v>
      </c>
      <c r="AA58">
        <f t="shared" si="9"/>
        <v>58</v>
      </c>
      <c r="AB58">
        <f t="shared" si="24"/>
        <v>58</v>
      </c>
      <c r="AC58">
        <f t="shared" si="10"/>
        <v>23.5</v>
      </c>
      <c r="AD58">
        <f t="shared" si="11"/>
        <v>0.47015915119363394</v>
      </c>
      <c r="AE58">
        <f t="shared" si="12"/>
        <v>0.47015915119363394</v>
      </c>
    </row>
    <row r="59" spans="11:31" x14ac:dyDescent="0.55000000000000004">
      <c r="K59">
        <f t="shared" si="36"/>
        <v>184</v>
      </c>
      <c r="L59">
        <f t="shared" si="17"/>
        <v>8</v>
      </c>
      <c r="M59">
        <f t="shared" si="2"/>
        <v>30</v>
      </c>
      <c r="N59">
        <f t="shared" si="37"/>
        <v>59</v>
      </c>
      <c r="O59">
        <f t="shared" si="3"/>
        <v>0.50847457627118642</v>
      </c>
      <c r="P59">
        <f t="shared" si="4"/>
        <v>0.70013037809647982</v>
      </c>
      <c r="Q59">
        <f t="shared" si="5"/>
        <v>0.70013037809647982</v>
      </c>
      <c r="R59">
        <f t="shared" si="19"/>
        <v>184</v>
      </c>
      <c r="S59">
        <f t="shared" si="20"/>
        <v>8</v>
      </c>
      <c r="T59">
        <v>0</v>
      </c>
      <c r="U59">
        <f t="shared" si="21"/>
        <v>59</v>
      </c>
      <c r="V59">
        <f t="shared" si="6"/>
        <v>23</v>
      </c>
      <c r="W59">
        <f t="shared" si="7"/>
        <v>0.92503259452412001</v>
      </c>
      <c r="X59">
        <f t="shared" si="8"/>
        <v>0.92503259452412001</v>
      </c>
      <c r="Y59">
        <f t="shared" si="22"/>
        <v>184</v>
      </c>
      <c r="Z59">
        <f t="shared" si="23"/>
        <v>8</v>
      </c>
      <c r="AA59">
        <f t="shared" si="9"/>
        <v>59</v>
      </c>
      <c r="AB59">
        <f t="shared" si="24"/>
        <v>59</v>
      </c>
      <c r="AC59">
        <f t="shared" si="10"/>
        <v>23</v>
      </c>
      <c r="AD59">
        <f t="shared" si="11"/>
        <v>0.48272490221642761</v>
      </c>
      <c r="AE59">
        <f t="shared" si="12"/>
        <v>0.48272490221642761</v>
      </c>
    </row>
    <row r="60" spans="11:31" x14ac:dyDescent="0.55000000000000004">
      <c r="K60">
        <f t="shared" si="36"/>
        <v>180</v>
      </c>
      <c r="L60">
        <f t="shared" si="17"/>
        <v>8</v>
      </c>
      <c r="M60">
        <f t="shared" si="2"/>
        <v>30</v>
      </c>
      <c r="N60">
        <f t="shared" si="37"/>
        <v>60</v>
      </c>
      <c r="O60">
        <f t="shared" si="3"/>
        <v>0.5</v>
      </c>
      <c r="P60">
        <f t="shared" si="4"/>
        <v>0.71153846153846156</v>
      </c>
      <c r="Q60">
        <f t="shared" si="5"/>
        <v>0.71153846153846156</v>
      </c>
      <c r="R60">
        <f t="shared" si="19"/>
        <v>180</v>
      </c>
      <c r="S60">
        <f t="shared" si="20"/>
        <v>8</v>
      </c>
      <c r="T60">
        <v>0</v>
      </c>
      <c r="U60">
        <f t="shared" si="21"/>
        <v>60</v>
      </c>
      <c r="V60">
        <f t="shared" si="6"/>
        <v>22.5</v>
      </c>
      <c r="W60">
        <f t="shared" si="7"/>
        <v>0.92788461538461542</v>
      </c>
      <c r="X60">
        <f t="shared" si="8"/>
        <v>0.92788461538461542</v>
      </c>
      <c r="Y60">
        <f t="shared" si="22"/>
        <v>180</v>
      </c>
      <c r="Z60">
        <f t="shared" si="23"/>
        <v>8</v>
      </c>
      <c r="AA60">
        <f t="shared" si="9"/>
        <v>60</v>
      </c>
      <c r="AB60">
        <f t="shared" si="24"/>
        <v>60</v>
      </c>
      <c r="AC60">
        <f t="shared" si="10"/>
        <v>22.5</v>
      </c>
      <c r="AD60">
        <f t="shared" si="11"/>
        <v>0.4951923076923076</v>
      </c>
      <c r="AE60">
        <f t="shared" si="12"/>
        <v>0.4951923076923076</v>
      </c>
    </row>
    <row r="61" spans="11:31" x14ac:dyDescent="0.55000000000000004">
      <c r="K61">
        <f t="shared" si="36"/>
        <v>176</v>
      </c>
      <c r="L61">
        <f t="shared" si="17"/>
        <v>8</v>
      </c>
      <c r="M61">
        <f t="shared" si="2"/>
        <v>31</v>
      </c>
      <c r="N61">
        <f t="shared" si="37"/>
        <v>61</v>
      </c>
      <c r="O61">
        <f t="shared" si="3"/>
        <v>0.50819672131147542</v>
      </c>
      <c r="P61">
        <f t="shared" si="4"/>
        <v>0.71563682219419933</v>
      </c>
      <c r="Q61">
        <f t="shared" si="5"/>
        <v>0.71563682219419933</v>
      </c>
      <c r="R61">
        <f t="shared" si="19"/>
        <v>176</v>
      </c>
      <c r="S61">
        <f t="shared" si="20"/>
        <v>8</v>
      </c>
      <c r="T61">
        <v>0</v>
      </c>
      <c r="U61">
        <f t="shared" si="21"/>
        <v>61</v>
      </c>
      <c r="V61">
        <f t="shared" si="6"/>
        <v>22</v>
      </c>
      <c r="W61">
        <f t="shared" si="7"/>
        <v>0.93064312736443888</v>
      </c>
      <c r="X61">
        <f t="shared" si="8"/>
        <v>0.93064312736443888</v>
      </c>
      <c r="Y61">
        <f t="shared" si="22"/>
        <v>176</v>
      </c>
      <c r="Z61">
        <f t="shared" si="23"/>
        <v>8</v>
      </c>
      <c r="AA61">
        <f t="shared" si="9"/>
        <v>61</v>
      </c>
      <c r="AB61">
        <f t="shared" si="24"/>
        <v>61</v>
      </c>
      <c r="AC61">
        <f t="shared" si="10"/>
        <v>22</v>
      </c>
      <c r="AD61">
        <f t="shared" si="11"/>
        <v>0.50756620428751575</v>
      </c>
      <c r="AE61">
        <f t="shared" si="12"/>
        <v>0.50756620428751575</v>
      </c>
    </row>
    <row r="62" spans="11:31" x14ac:dyDescent="0.55000000000000004">
      <c r="K62">
        <f t="shared" si="36"/>
        <v>172</v>
      </c>
      <c r="L62">
        <f t="shared" si="17"/>
        <v>8</v>
      </c>
      <c r="M62">
        <f t="shared" si="2"/>
        <v>31</v>
      </c>
      <c r="N62">
        <f t="shared" si="37"/>
        <v>62</v>
      </c>
      <c r="O62">
        <f t="shared" si="3"/>
        <v>0.5</v>
      </c>
      <c r="P62">
        <f t="shared" si="4"/>
        <v>0.72658188585607941</v>
      </c>
      <c r="Q62">
        <f t="shared" si="5"/>
        <v>0.72658188585607941</v>
      </c>
      <c r="R62">
        <f t="shared" si="19"/>
        <v>172</v>
      </c>
      <c r="S62">
        <f t="shared" si="20"/>
        <v>8</v>
      </c>
      <c r="T62">
        <v>0</v>
      </c>
      <c r="U62">
        <f t="shared" si="21"/>
        <v>62</v>
      </c>
      <c r="V62">
        <f t="shared" si="6"/>
        <v>21.5</v>
      </c>
      <c r="W62">
        <f t="shared" si="7"/>
        <v>0.93331265508684869</v>
      </c>
      <c r="X62">
        <f t="shared" si="8"/>
        <v>0.93331265508684869</v>
      </c>
      <c r="Y62">
        <f t="shared" si="22"/>
        <v>172</v>
      </c>
      <c r="Z62">
        <f t="shared" si="23"/>
        <v>8</v>
      </c>
      <c r="AA62">
        <f t="shared" si="9"/>
        <v>62</v>
      </c>
      <c r="AB62">
        <f t="shared" si="24"/>
        <v>62</v>
      </c>
      <c r="AC62">
        <f t="shared" si="10"/>
        <v>21.5</v>
      </c>
      <c r="AD62">
        <f t="shared" si="11"/>
        <v>0.51985111662531014</v>
      </c>
      <c r="AE62">
        <f t="shared" si="12"/>
        <v>0.51985111662531014</v>
      </c>
    </row>
    <row r="63" spans="11:31" x14ac:dyDescent="0.55000000000000004">
      <c r="K63">
        <f t="shared" si="36"/>
        <v>168</v>
      </c>
      <c r="L63">
        <f t="shared" si="17"/>
        <v>8</v>
      </c>
      <c r="M63">
        <f t="shared" si="2"/>
        <v>32</v>
      </c>
      <c r="N63">
        <f t="shared" si="37"/>
        <v>63</v>
      </c>
      <c r="O63">
        <f t="shared" si="3"/>
        <v>0.50793650793650791</v>
      </c>
      <c r="P63">
        <f t="shared" si="4"/>
        <v>0.73076923076923084</v>
      </c>
      <c r="Q63">
        <f t="shared" si="5"/>
        <v>0.73076923076923084</v>
      </c>
      <c r="R63">
        <f t="shared" si="19"/>
        <v>168</v>
      </c>
      <c r="S63">
        <f t="shared" si="20"/>
        <v>8</v>
      </c>
      <c r="T63">
        <v>0</v>
      </c>
      <c r="U63">
        <f t="shared" si="21"/>
        <v>63</v>
      </c>
      <c r="V63">
        <f t="shared" si="6"/>
        <v>21</v>
      </c>
      <c r="W63">
        <f t="shared" si="7"/>
        <v>0.9358974358974359</v>
      </c>
      <c r="X63">
        <f t="shared" si="8"/>
        <v>0.9358974358974359</v>
      </c>
      <c r="Y63">
        <f t="shared" si="22"/>
        <v>168</v>
      </c>
      <c r="Z63">
        <f t="shared" si="23"/>
        <v>8</v>
      </c>
      <c r="AA63">
        <f t="shared" si="9"/>
        <v>63</v>
      </c>
      <c r="AB63">
        <f t="shared" si="24"/>
        <v>63</v>
      </c>
      <c r="AC63">
        <f t="shared" si="10"/>
        <v>21</v>
      </c>
      <c r="AD63">
        <f t="shared" si="11"/>
        <v>0.53205128205128194</v>
      </c>
      <c r="AE63">
        <f t="shared" si="12"/>
        <v>0.53205128205128194</v>
      </c>
    </row>
    <row r="64" spans="11:31" x14ac:dyDescent="0.55000000000000004">
      <c r="K64">
        <f t="shared" si="36"/>
        <v>164</v>
      </c>
      <c r="L64">
        <f t="shared" si="17"/>
        <v>8</v>
      </c>
      <c r="M64">
        <f t="shared" si="2"/>
        <v>32</v>
      </c>
      <c r="N64">
        <f t="shared" si="37"/>
        <v>64</v>
      </c>
      <c r="O64">
        <f t="shared" si="3"/>
        <v>0.5</v>
      </c>
      <c r="P64">
        <f t="shared" si="4"/>
        <v>0.74128605769230771</v>
      </c>
      <c r="Q64">
        <f t="shared" si="5"/>
        <v>0.74128605769230771</v>
      </c>
      <c r="R64">
        <f t="shared" si="19"/>
        <v>164</v>
      </c>
      <c r="S64">
        <f t="shared" si="20"/>
        <v>8</v>
      </c>
      <c r="T64">
        <v>0</v>
      </c>
      <c r="U64">
        <f t="shared" si="21"/>
        <v>64</v>
      </c>
      <c r="V64">
        <f t="shared" si="6"/>
        <v>20.5</v>
      </c>
      <c r="W64">
        <f t="shared" si="7"/>
        <v>0.93840144230769229</v>
      </c>
      <c r="X64">
        <f t="shared" si="8"/>
        <v>0.93840144230769229</v>
      </c>
      <c r="Y64">
        <f t="shared" si="22"/>
        <v>164</v>
      </c>
      <c r="Z64">
        <f t="shared" si="23"/>
        <v>8</v>
      </c>
      <c r="AA64">
        <f t="shared" si="9"/>
        <v>64</v>
      </c>
      <c r="AB64">
        <f t="shared" si="24"/>
        <v>64</v>
      </c>
      <c r="AC64">
        <f t="shared" si="10"/>
        <v>20.5</v>
      </c>
      <c r="AD64">
        <f t="shared" si="11"/>
        <v>0.54417067307692313</v>
      </c>
      <c r="AE64">
        <f t="shared" si="12"/>
        <v>0.54417067307692313</v>
      </c>
    </row>
    <row r="65" spans="11:31" x14ac:dyDescent="0.55000000000000004">
      <c r="K65">
        <f t="shared" si="36"/>
        <v>160</v>
      </c>
      <c r="L65">
        <f t="shared" si="17"/>
        <v>8</v>
      </c>
      <c r="M65">
        <f t="shared" si="2"/>
        <v>33</v>
      </c>
      <c r="N65">
        <f t="shared" si="37"/>
        <v>65</v>
      </c>
      <c r="O65">
        <f t="shared" si="3"/>
        <v>0.50769230769230766</v>
      </c>
      <c r="P65">
        <f t="shared" si="4"/>
        <v>0.74556213017751483</v>
      </c>
      <c r="Q65">
        <f t="shared" si="5"/>
        <v>0.74556213017751483</v>
      </c>
      <c r="R65">
        <f t="shared" si="19"/>
        <v>160</v>
      </c>
      <c r="S65">
        <f t="shared" si="20"/>
        <v>8</v>
      </c>
      <c r="T65">
        <v>0</v>
      </c>
      <c r="U65">
        <f t="shared" si="21"/>
        <v>65</v>
      </c>
      <c r="V65">
        <f t="shared" si="6"/>
        <v>20</v>
      </c>
      <c r="W65">
        <f t="shared" si="7"/>
        <v>0.94082840236686394</v>
      </c>
      <c r="X65">
        <f t="shared" si="8"/>
        <v>0.94082840236686394</v>
      </c>
      <c r="Y65">
        <f t="shared" si="22"/>
        <v>160</v>
      </c>
      <c r="Z65">
        <f t="shared" si="23"/>
        <v>8</v>
      </c>
      <c r="AA65">
        <f t="shared" si="9"/>
        <v>65</v>
      </c>
      <c r="AB65">
        <f t="shared" si="24"/>
        <v>65</v>
      </c>
      <c r="AC65">
        <f t="shared" si="10"/>
        <v>20</v>
      </c>
      <c r="AD65">
        <f t="shared" si="11"/>
        <v>0.55621301775147924</v>
      </c>
      <c r="AE65">
        <f t="shared" si="12"/>
        <v>0.55621301775147924</v>
      </c>
    </row>
    <row r="66" spans="11:31" x14ac:dyDescent="0.55000000000000004">
      <c r="K66">
        <f t="shared" si="36"/>
        <v>156</v>
      </c>
      <c r="L66">
        <f t="shared" si="17"/>
        <v>8</v>
      </c>
      <c r="M66">
        <f t="shared" ref="M66:M105" si="41">ROUND(N66 / 2,0)</f>
        <v>33</v>
      </c>
      <c r="N66">
        <f t="shared" si="37"/>
        <v>66</v>
      </c>
      <c r="O66">
        <f t="shared" ref="O66:O105" si="42">M66/N66</f>
        <v>0.5</v>
      </c>
      <c r="P66">
        <f t="shared" ref="P66:P105" si="43">(1 - (K66 / K$1) * ((M66+10) /N66))</f>
        <v>0.75568181818181812</v>
      </c>
      <c r="Q66">
        <f t="shared" ref="Q66:Q105" si="44">IF(P66 &lt; 0,P66 / -10,P66)</f>
        <v>0.75568181818181812</v>
      </c>
      <c r="R66">
        <f t="shared" si="19"/>
        <v>156</v>
      </c>
      <c r="S66">
        <f t="shared" si="20"/>
        <v>8</v>
      </c>
      <c r="T66">
        <v>0</v>
      </c>
      <c r="U66">
        <f t="shared" si="21"/>
        <v>66</v>
      </c>
      <c r="V66">
        <f t="shared" ref="V66:V105" si="45">R66/S66</f>
        <v>19.5</v>
      </c>
      <c r="W66">
        <f t="shared" ref="W66:W105" si="46">(1 - (R66 / R$1) * ((T66+10) /U66))</f>
        <v>0.94318181818181812</v>
      </c>
      <c r="X66">
        <f t="shared" ref="X66:X105" si="47">IF(W66 &lt; 0,W66 / -10,W66)</f>
        <v>0.94318181818181812</v>
      </c>
      <c r="Y66">
        <f t="shared" si="22"/>
        <v>156</v>
      </c>
      <c r="Z66">
        <f t="shared" si="23"/>
        <v>8</v>
      </c>
      <c r="AA66">
        <f t="shared" ref="AA66:AA105" si="48">AB66</f>
        <v>66</v>
      </c>
      <c r="AB66">
        <f t="shared" si="24"/>
        <v>66</v>
      </c>
      <c r="AC66">
        <f t="shared" ref="AC66:AC105" si="49">Y66/Z66</f>
        <v>19.5</v>
      </c>
      <c r="AD66">
        <f t="shared" ref="AD66:AD105" si="50">(1 - (Y66 / Y$1) * ((AA66+10) /AB66))</f>
        <v>0.56818181818181812</v>
      </c>
      <c r="AE66">
        <f t="shared" ref="AE66:AE105" si="51">IF(AD66 &lt; 0,AD66 / -10,AD66)</f>
        <v>0.56818181818181812</v>
      </c>
    </row>
    <row r="67" spans="11:31" x14ac:dyDescent="0.55000000000000004">
      <c r="K67">
        <f t="shared" si="36"/>
        <v>152</v>
      </c>
      <c r="L67">
        <f t="shared" ref="L67:L105" si="52">$L$1</f>
        <v>8</v>
      </c>
      <c r="M67">
        <f t="shared" si="41"/>
        <v>34</v>
      </c>
      <c r="N67">
        <f t="shared" si="37"/>
        <v>67</v>
      </c>
      <c r="O67">
        <f t="shared" si="42"/>
        <v>0.5074626865671642</v>
      </c>
      <c r="P67">
        <f t="shared" si="43"/>
        <v>0.7600459242250287</v>
      </c>
      <c r="Q67">
        <f t="shared" si="44"/>
        <v>0.7600459242250287</v>
      </c>
      <c r="R67">
        <f t="shared" ref="R67:R105" si="53">R66 - 4</f>
        <v>152</v>
      </c>
      <c r="S67">
        <f t="shared" ref="S67:S105" si="54">$L$1</f>
        <v>8</v>
      </c>
      <c r="T67">
        <v>0</v>
      </c>
      <c r="U67">
        <f t="shared" ref="U67:U105" si="55">U66 +1</f>
        <v>67</v>
      </c>
      <c r="V67">
        <f t="shared" si="45"/>
        <v>19</v>
      </c>
      <c r="W67">
        <f t="shared" si="46"/>
        <v>0.94546498277841562</v>
      </c>
      <c r="X67">
        <f t="shared" si="47"/>
        <v>0.94546498277841562</v>
      </c>
      <c r="Y67">
        <f t="shared" ref="Y67:Y105" si="56">Y66 - 4</f>
        <v>152</v>
      </c>
      <c r="Z67">
        <f t="shared" ref="Z67:Z105" si="57">$L$1</f>
        <v>8</v>
      </c>
      <c r="AA67">
        <f t="shared" si="48"/>
        <v>67</v>
      </c>
      <c r="AB67">
        <f t="shared" ref="AB67:AB105" si="58">AB66 +1</f>
        <v>67</v>
      </c>
      <c r="AC67">
        <f t="shared" si="49"/>
        <v>19</v>
      </c>
      <c r="AD67">
        <f t="shared" si="50"/>
        <v>0.5800803673938002</v>
      </c>
      <c r="AE67">
        <f t="shared" si="51"/>
        <v>0.5800803673938002</v>
      </c>
    </row>
    <row r="68" spans="11:31" x14ac:dyDescent="0.55000000000000004">
      <c r="K68">
        <f t="shared" si="36"/>
        <v>148</v>
      </c>
      <c r="L68">
        <f t="shared" si="52"/>
        <v>8</v>
      </c>
      <c r="M68">
        <f t="shared" si="41"/>
        <v>34</v>
      </c>
      <c r="N68">
        <f t="shared" si="37"/>
        <v>68</v>
      </c>
      <c r="O68">
        <f t="shared" si="42"/>
        <v>0.5</v>
      </c>
      <c r="P68">
        <f t="shared" si="43"/>
        <v>0.76979638009049767</v>
      </c>
      <c r="Q68">
        <f t="shared" si="44"/>
        <v>0.76979638009049767</v>
      </c>
      <c r="R68">
        <f t="shared" si="53"/>
        <v>148</v>
      </c>
      <c r="S68">
        <f t="shared" si="54"/>
        <v>8</v>
      </c>
      <c r="T68">
        <v>0</v>
      </c>
      <c r="U68">
        <f t="shared" si="55"/>
        <v>68</v>
      </c>
      <c r="V68">
        <f t="shared" si="45"/>
        <v>18.5</v>
      </c>
      <c r="W68">
        <f t="shared" si="46"/>
        <v>0.94768099547511309</v>
      </c>
      <c r="X68">
        <f t="shared" si="47"/>
        <v>0.94768099547511309</v>
      </c>
      <c r="Y68">
        <f t="shared" si="56"/>
        <v>148</v>
      </c>
      <c r="Z68">
        <f t="shared" si="57"/>
        <v>8</v>
      </c>
      <c r="AA68">
        <f t="shared" si="48"/>
        <v>68</v>
      </c>
      <c r="AB68">
        <f t="shared" si="58"/>
        <v>68</v>
      </c>
      <c r="AC68">
        <f t="shared" si="49"/>
        <v>18.5</v>
      </c>
      <c r="AD68">
        <f t="shared" si="50"/>
        <v>0.59191176470588236</v>
      </c>
      <c r="AE68">
        <f t="shared" si="51"/>
        <v>0.59191176470588236</v>
      </c>
    </row>
    <row r="69" spans="11:31" x14ac:dyDescent="0.55000000000000004">
      <c r="K69">
        <f t="shared" si="36"/>
        <v>144</v>
      </c>
      <c r="L69">
        <f t="shared" si="52"/>
        <v>8</v>
      </c>
      <c r="M69">
        <f t="shared" si="41"/>
        <v>35</v>
      </c>
      <c r="N69">
        <f t="shared" si="37"/>
        <v>69</v>
      </c>
      <c r="O69">
        <f t="shared" si="42"/>
        <v>0.50724637681159424</v>
      </c>
      <c r="P69">
        <f t="shared" si="43"/>
        <v>0.77424749163879603</v>
      </c>
      <c r="Q69">
        <f t="shared" si="44"/>
        <v>0.77424749163879603</v>
      </c>
      <c r="R69">
        <f t="shared" si="53"/>
        <v>144</v>
      </c>
      <c r="S69">
        <f t="shared" si="54"/>
        <v>8</v>
      </c>
      <c r="T69">
        <v>0</v>
      </c>
      <c r="U69">
        <f t="shared" si="55"/>
        <v>69</v>
      </c>
      <c r="V69">
        <f t="shared" si="45"/>
        <v>18</v>
      </c>
      <c r="W69">
        <f t="shared" si="46"/>
        <v>0.94983277591973247</v>
      </c>
      <c r="X69">
        <f t="shared" si="47"/>
        <v>0.94983277591973247</v>
      </c>
      <c r="Y69">
        <f t="shared" si="56"/>
        <v>144</v>
      </c>
      <c r="Z69">
        <f t="shared" si="57"/>
        <v>8</v>
      </c>
      <c r="AA69">
        <f t="shared" si="48"/>
        <v>69</v>
      </c>
      <c r="AB69">
        <f t="shared" si="58"/>
        <v>69</v>
      </c>
      <c r="AC69">
        <f t="shared" si="49"/>
        <v>18</v>
      </c>
      <c r="AD69">
        <f t="shared" si="50"/>
        <v>0.60367892976588633</v>
      </c>
      <c r="AE69">
        <f t="shared" si="51"/>
        <v>0.60367892976588633</v>
      </c>
    </row>
    <row r="70" spans="11:31" x14ac:dyDescent="0.55000000000000004">
      <c r="K70">
        <f t="shared" si="36"/>
        <v>140</v>
      </c>
      <c r="L70">
        <f t="shared" si="52"/>
        <v>8</v>
      </c>
      <c r="M70">
        <f t="shared" si="41"/>
        <v>35</v>
      </c>
      <c r="N70">
        <f t="shared" si="37"/>
        <v>70</v>
      </c>
      <c r="O70">
        <f t="shared" si="42"/>
        <v>0.5</v>
      </c>
      <c r="P70">
        <f t="shared" si="43"/>
        <v>0.78365384615384615</v>
      </c>
      <c r="Q70">
        <f t="shared" si="44"/>
        <v>0.78365384615384615</v>
      </c>
      <c r="R70">
        <f t="shared" si="53"/>
        <v>140</v>
      </c>
      <c r="S70">
        <f t="shared" si="54"/>
        <v>8</v>
      </c>
      <c r="T70">
        <v>0</v>
      </c>
      <c r="U70">
        <f t="shared" si="55"/>
        <v>70</v>
      </c>
      <c r="V70">
        <f t="shared" si="45"/>
        <v>17.5</v>
      </c>
      <c r="W70">
        <f t="shared" si="46"/>
        <v>0.95192307692307687</v>
      </c>
      <c r="X70">
        <f t="shared" si="47"/>
        <v>0.95192307692307687</v>
      </c>
      <c r="Y70">
        <f t="shared" si="56"/>
        <v>140</v>
      </c>
      <c r="Z70">
        <f t="shared" si="57"/>
        <v>8</v>
      </c>
      <c r="AA70">
        <f t="shared" si="48"/>
        <v>70</v>
      </c>
      <c r="AB70">
        <f t="shared" si="58"/>
        <v>70</v>
      </c>
      <c r="AC70">
        <f t="shared" si="49"/>
        <v>17.5</v>
      </c>
      <c r="AD70">
        <f t="shared" si="50"/>
        <v>0.61538461538461542</v>
      </c>
      <c r="AE70">
        <f t="shared" si="51"/>
        <v>0.61538461538461542</v>
      </c>
    </row>
    <row r="71" spans="11:31" x14ac:dyDescent="0.55000000000000004">
      <c r="K71">
        <f t="shared" si="36"/>
        <v>136</v>
      </c>
      <c r="L71">
        <f t="shared" si="52"/>
        <v>8</v>
      </c>
      <c r="M71">
        <f t="shared" si="41"/>
        <v>36</v>
      </c>
      <c r="N71">
        <f t="shared" si="37"/>
        <v>71</v>
      </c>
      <c r="O71">
        <f t="shared" si="42"/>
        <v>0.50704225352112675</v>
      </c>
      <c r="P71">
        <f t="shared" si="43"/>
        <v>0.78819068255687974</v>
      </c>
      <c r="Q71">
        <f t="shared" si="44"/>
        <v>0.78819068255687974</v>
      </c>
      <c r="R71">
        <f t="shared" si="53"/>
        <v>136</v>
      </c>
      <c r="S71">
        <f t="shared" si="54"/>
        <v>8</v>
      </c>
      <c r="T71">
        <v>0</v>
      </c>
      <c r="U71">
        <f t="shared" si="55"/>
        <v>71</v>
      </c>
      <c r="V71">
        <f t="shared" si="45"/>
        <v>17</v>
      </c>
      <c r="W71">
        <f t="shared" si="46"/>
        <v>0.95395449620801731</v>
      </c>
      <c r="X71">
        <f t="shared" si="47"/>
        <v>0.95395449620801731</v>
      </c>
      <c r="Y71">
        <f t="shared" si="56"/>
        <v>136</v>
      </c>
      <c r="Z71">
        <f t="shared" si="57"/>
        <v>8</v>
      </c>
      <c r="AA71">
        <f t="shared" si="48"/>
        <v>71</v>
      </c>
      <c r="AB71">
        <f t="shared" si="58"/>
        <v>71</v>
      </c>
      <c r="AC71">
        <f t="shared" si="49"/>
        <v>17</v>
      </c>
      <c r="AD71">
        <f t="shared" si="50"/>
        <v>0.62703141928494044</v>
      </c>
      <c r="AE71">
        <f t="shared" si="51"/>
        <v>0.62703141928494044</v>
      </c>
    </row>
    <row r="72" spans="11:31" x14ac:dyDescent="0.55000000000000004">
      <c r="K72">
        <f t="shared" si="36"/>
        <v>132</v>
      </c>
      <c r="L72">
        <f t="shared" si="52"/>
        <v>8</v>
      </c>
      <c r="M72">
        <f t="shared" si="41"/>
        <v>36</v>
      </c>
      <c r="N72">
        <f t="shared" si="37"/>
        <v>72</v>
      </c>
      <c r="O72">
        <f t="shared" si="42"/>
        <v>0.5</v>
      </c>
      <c r="P72">
        <f t="shared" si="43"/>
        <v>0.79727564102564108</v>
      </c>
      <c r="Q72">
        <f t="shared" si="44"/>
        <v>0.79727564102564108</v>
      </c>
      <c r="R72">
        <f t="shared" si="53"/>
        <v>132</v>
      </c>
      <c r="S72">
        <f t="shared" si="54"/>
        <v>8</v>
      </c>
      <c r="T72">
        <v>0</v>
      </c>
      <c r="U72">
        <f t="shared" si="55"/>
        <v>72</v>
      </c>
      <c r="V72">
        <f t="shared" si="45"/>
        <v>16.5</v>
      </c>
      <c r="W72">
        <f t="shared" si="46"/>
        <v>0.95592948717948723</v>
      </c>
      <c r="X72">
        <f t="shared" si="47"/>
        <v>0.95592948717948723</v>
      </c>
      <c r="Y72">
        <f t="shared" si="56"/>
        <v>132</v>
      </c>
      <c r="Z72">
        <f t="shared" si="57"/>
        <v>8</v>
      </c>
      <c r="AA72">
        <f t="shared" si="48"/>
        <v>72</v>
      </c>
      <c r="AB72">
        <f t="shared" si="58"/>
        <v>72</v>
      </c>
      <c r="AC72">
        <f t="shared" si="49"/>
        <v>16.5</v>
      </c>
      <c r="AD72">
        <f t="shared" si="50"/>
        <v>0.63862179487179493</v>
      </c>
      <c r="AE72">
        <f t="shared" si="51"/>
        <v>0.63862179487179493</v>
      </c>
    </row>
    <row r="73" spans="11:31" x14ac:dyDescent="0.55000000000000004">
      <c r="K73">
        <f t="shared" si="36"/>
        <v>128</v>
      </c>
      <c r="L73">
        <f t="shared" si="52"/>
        <v>8</v>
      </c>
      <c r="M73">
        <f t="shared" si="41"/>
        <v>37</v>
      </c>
      <c r="N73">
        <f t="shared" si="37"/>
        <v>73</v>
      </c>
      <c r="O73">
        <f t="shared" si="42"/>
        <v>0.50684931506849318</v>
      </c>
      <c r="P73">
        <f t="shared" si="43"/>
        <v>0.8018967334035827</v>
      </c>
      <c r="Q73">
        <f t="shared" si="44"/>
        <v>0.8018967334035827</v>
      </c>
      <c r="R73">
        <f t="shared" si="53"/>
        <v>128</v>
      </c>
      <c r="S73">
        <f t="shared" si="54"/>
        <v>8</v>
      </c>
      <c r="T73">
        <v>0</v>
      </c>
      <c r="U73">
        <f t="shared" si="55"/>
        <v>73</v>
      </c>
      <c r="V73">
        <f t="shared" si="45"/>
        <v>16</v>
      </c>
      <c r="W73">
        <f t="shared" si="46"/>
        <v>0.95785036880927288</v>
      </c>
      <c r="X73">
        <f t="shared" si="47"/>
        <v>0.95785036880927288</v>
      </c>
      <c r="Y73">
        <f t="shared" si="56"/>
        <v>128</v>
      </c>
      <c r="Z73">
        <f t="shared" si="57"/>
        <v>8</v>
      </c>
      <c r="AA73">
        <f t="shared" si="48"/>
        <v>73</v>
      </c>
      <c r="AB73">
        <f t="shared" si="58"/>
        <v>73</v>
      </c>
      <c r="AC73">
        <f t="shared" si="49"/>
        <v>16</v>
      </c>
      <c r="AD73">
        <f t="shared" si="50"/>
        <v>0.65015806111696517</v>
      </c>
      <c r="AE73">
        <f t="shared" si="51"/>
        <v>0.65015806111696517</v>
      </c>
    </row>
    <row r="74" spans="11:31" x14ac:dyDescent="0.55000000000000004">
      <c r="K74">
        <f t="shared" si="36"/>
        <v>124</v>
      </c>
      <c r="L74">
        <f t="shared" si="52"/>
        <v>8</v>
      </c>
      <c r="M74">
        <f t="shared" si="41"/>
        <v>37</v>
      </c>
      <c r="N74">
        <f t="shared" si="37"/>
        <v>74</v>
      </c>
      <c r="O74">
        <f t="shared" si="42"/>
        <v>0.5</v>
      </c>
      <c r="P74">
        <f t="shared" si="43"/>
        <v>0.81068087318087323</v>
      </c>
      <c r="Q74">
        <f t="shared" si="44"/>
        <v>0.81068087318087323</v>
      </c>
      <c r="R74">
        <f t="shared" si="53"/>
        <v>124</v>
      </c>
      <c r="S74">
        <f t="shared" si="54"/>
        <v>8</v>
      </c>
      <c r="T74">
        <v>0</v>
      </c>
      <c r="U74">
        <f t="shared" si="55"/>
        <v>74</v>
      </c>
      <c r="V74">
        <f t="shared" si="45"/>
        <v>15.5</v>
      </c>
      <c r="W74">
        <f t="shared" si="46"/>
        <v>0.95971933471933468</v>
      </c>
      <c r="X74">
        <f t="shared" si="47"/>
        <v>0.95971933471933468</v>
      </c>
      <c r="Y74">
        <f t="shared" si="56"/>
        <v>124</v>
      </c>
      <c r="Z74">
        <f t="shared" si="57"/>
        <v>8</v>
      </c>
      <c r="AA74">
        <f t="shared" si="48"/>
        <v>74</v>
      </c>
      <c r="AB74">
        <f t="shared" si="58"/>
        <v>74</v>
      </c>
      <c r="AC74">
        <f t="shared" si="49"/>
        <v>15.5</v>
      </c>
      <c r="AD74">
        <f t="shared" si="50"/>
        <v>0.66164241164241167</v>
      </c>
      <c r="AE74">
        <f t="shared" si="51"/>
        <v>0.66164241164241167</v>
      </c>
    </row>
    <row r="75" spans="11:31" x14ac:dyDescent="0.55000000000000004">
      <c r="K75">
        <f t="shared" ref="K75:K105" si="59">K74 - 4</f>
        <v>120</v>
      </c>
      <c r="L75">
        <f t="shared" si="52"/>
        <v>8</v>
      </c>
      <c r="M75">
        <f t="shared" si="41"/>
        <v>38</v>
      </c>
      <c r="N75">
        <f t="shared" ref="N75:N105" si="60">N74 +1</f>
        <v>75</v>
      </c>
      <c r="O75">
        <f t="shared" si="42"/>
        <v>0.50666666666666671</v>
      </c>
      <c r="P75">
        <f t="shared" si="43"/>
        <v>0.81538461538461537</v>
      </c>
      <c r="Q75">
        <f t="shared" si="44"/>
        <v>0.81538461538461537</v>
      </c>
      <c r="R75">
        <f t="shared" si="53"/>
        <v>120</v>
      </c>
      <c r="S75">
        <f t="shared" si="54"/>
        <v>8</v>
      </c>
      <c r="T75">
        <v>0</v>
      </c>
      <c r="U75">
        <f t="shared" si="55"/>
        <v>75</v>
      </c>
      <c r="V75">
        <f t="shared" si="45"/>
        <v>15</v>
      </c>
      <c r="W75">
        <f t="shared" si="46"/>
        <v>0.96153846153846156</v>
      </c>
      <c r="X75">
        <f t="shared" si="47"/>
        <v>0.96153846153846156</v>
      </c>
      <c r="Y75">
        <f t="shared" si="56"/>
        <v>120</v>
      </c>
      <c r="Z75">
        <f t="shared" si="57"/>
        <v>8</v>
      </c>
      <c r="AA75">
        <f t="shared" si="48"/>
        <v>75</v>
      </c>
      <c r="AB75">
        <f t="shared" si="58"/>
        <v>75</v>
      </c>
      <c r="AC75">
        <f t="shared" si="49"/>
        <v>15</v>
      </c>
      <c r="AD75">
        <f t="shared" si="50"/>
        <v>0.67307692307692313</v>
      </c>
      <c r="AE75">
        <f t="shared" si="51"/>
        <v>0.67307692307692313</v>
      </c>
    </row>
    <row r="76" spans="11:31" x14ac:dyDescent="0.55000000000000004">
      <c r="K76">
        <f t="shared" si="59"/>
        <v>116</v>
      </c>
      <c r="L76">
        <f t="shared" si="52"/>
        <v>8</v>
      </c>
      <c r="M76">
        <f t="shared" si="41"/>
        <v>38</v>
      </c>
      <c r="N76">
        <f t="shared" si="60"/>
        <v>76</v>
      </c>
      <c r="O76">
        <f t="shared" si="42"/>
        <v>0.5</v>
      </c>
      <c r="P76">
        <f t="shared" si="43"/>
        <v>0.82388663967611331</v>
      </c>
      <c r="Q76">
        <f t="shared" si="44"/>
        <v>0.82388663967611331</v>
      </c>
      <c r="R76">
        <f t="shared" si="53"/>
        <v>116</v>
      </c>
      <c r="S76">
        <f t="shared" si="54"/>
        <v>8</v>
      </c>
      <c r="T76">
        <v>0</v>
      </c>
      <c r="U76">
        <f t="shared" si="55"/>
        <v>76</v>
      </c>
      <c r="V76">
        <f t="shared" si="45"/>
        <v>14.5</v>
      </c>
      <c r="W76">
        <f t="shared" si="46"/>
        <v>0.96330971659919029</v>
      </c>
      <c r="X76">
        <f t="shared" si="47"/>
        <v>0.96330971659919029</v>
      </c>
      <c r="Y76">
        <f t="shared" si="56"/>
        <v>116</v>
      </c>
      <c r="Z76">
        <f t="shared" si="57"/>
        <v>8</v>
      </c>
      <c r="AA76">
        <f t="shared" si="48"/>
        <v>76</v>
      </c>
      <c r="AB76">
        <f t="shared" si="58"/>
        <v>76</v>
      </c>
      <c r="AC76">
        <f t="shared" si="49"/>
        <v>14.5</v>
      </c>
      <c r="AD76">
        <f t="shared" si="50"/>
        <v>0.68446356275303644</v>
      </c>
      <c r="AE76">
        <f t="shared" si="51"/>
        <v>0.68446356275303644</v>
      </c>
    </row>
    <row r="77" spans="11:31" x14ac:dyDescent="0.55000000000000004">
      <c r="K77">
        <f t="shared" si="59"/>
        <v>112</v>
      </c>
      <c r="L77">
        <f t="shared" si="52"/>
        <v>8</v>
      </c>
      <c r="M77">
        <f t="shared" si="41"/>
        <v>39</v>
      </c>
      <c r="N77">
        <f t="shared" si="60"/>
        <v>77</v>
      </c>
      <c r="O77">
        <f t="shared" si="42"/>
        <v>0.50649350649350644</v>
      </c>
      <c r="P77">
        <f t="shared" si="43"/>
        <v>0.82867132867132864</v>
      </c>
      <c r="Q77">
        <f t="shared" si="44"/>
        <v>0.82867132867132864</v>
      </c>
      <c r="R77">
        <f t="shared" si="53"/>
        <v>112</v>
      </c>
      <c r="S77">
        <f t="shared" si="54"/>
        <v>8</v>
      </c>
      <c r="T77">
        <v>0</v>
      </c>
      <c r="U77">
        <f t="shared" si="55"/>
        <v>77</v>
      </c>
      <c r="V77">
        <f t="shared" si="45"/>
        <v>14</v>
      </c>
      <c r="W77">
        <f t="shared" si="46"/>
        <v>0.965034965034965</v>
      </c>
      <c r="X77">
        <f t="shared" si="47"/>
        <v>0.965034965034965</v>
      </c>
      <c r="Y77">
        <f t="shared" si="56"/>
        <v>112</v>
      </c>
      <c r="Z77">
        <f t="shared" si="57"/>
        <v>8</v>
      </c>
      <c r="AA77">
        <f t="shared" si="48"/>
        <v>77</v>
      </c>
      <c r="AB77">
        <f t="shared" si="58"/>
        <v>77</v>
      </c>
      <c r="AC77">
        <f t="shared" si="49"/>
        <v>14</v>
      </c>
      <c r="AD77">
        <f t="shared" si="50"/>
        <v>0.69580419580419584</v>
      </c>
      <c r="AE77">
        <f t="shared" si="51"/>
        <v>0.69580419580419584</v>
      </c>
    </row>
    <row r="78" spans="11:31" x14ac:dyDescent="0.55000000000000004">
      <c r="K78">
        <f t="shared" si="59"/>
        <v>108</v>
      </c>
      <c r="L78">
        <f t="shared" si="52"/>
        <v>8</v>
      </c>
      <c r="M78">
        <f t="shared" si="41"/>
        <v>39</v>
      </c>
      <c r="N78">
        <f t="shared" si="60"/>
        <v>78</v>
      </c>
      <c r="O78">
        <f t="shared" si="42"/>
        <v>0.5</v>
      </c>
      <c r="P78">
        <f t="shared" si="43"/>
        <v>0.83690828402366857</v>
      </c>
      <c r="Q78">
        <f t="shared" si="44"/>
        <v>0.83690828402366857</v>
      </c>
      <c r="R78">
        <f t="shared" si="53"/>
        <v>108</v>
      </c>
      <c r="S78">
        <f t="shared" si="54"/>
        <v>8</v>
      </c>
      <c r="T78">
        <v>0</v>
      </c>
      <c r="U78">
        <f t="shared" si="55"/>
        <v>78</v>
      </c>
      <c r="V78">
        <f t="shared" si="45"/>
        <v>13.5</v>
      </c>
      <c r="W78">
        <f t="shared" si="46"/>
        <v>0.96671597633136097</v>
      </c>
      <c r="X78">
        <f t="shared" si="47"/>
        <v>0.96671597633136097</v>
      </c>
      <c r="Y78">
        <f t="shared" si="56"/>
        <v>108</v>
      </c>
      <c r="Z78">
        <f t="shared" si="57"/>
        <v>8</v>
      </c>
      <c r="AA78">
        <f t="shared" si="48"/>
        <v>78</v>
      </c>
      <c r="AB78">
        <f t="shared" si="58"/>
        <v>78</v>
      </c>
      <c r="AC78">
        <f t="shared" si="49"/>
        <v>13.5</v>
      </c>
      <c r="AD78">
        <f t="shared" si="50"/>
        <v>0.70710059171597628</v>
      </c>
      <c r="AE78">
        <f t="shared" si="51"/>
        <v>0.70710059171597628</v>
      </c>
    </row>
    <row r="79" spans="11:31" x14ac:dyDescent="0.55000000000000004">
      <c r="K79">
        <f t="shared" si="59"/>
        <v>104</v>
      </c>
      <c r="L79">
        <f t="shared" si="52"/>
        <v>8</v>
      </c>
      <c r="M79">
        <f t="shared" si="41"/>
        <v>40</v>
      </c>
      <c r="N79">
        <f t="shared" si="60"/>
        <v>79</v>
      </c>
      <c r="O79">
        <f t="shared" si="42"/>
        <v>0.50632911392405067</v>
      </c>
      <c r="P79">
        <f t="shared" si="43"/>
        <v>0.84177215189873422</v>
      </c>
      <c r="Q79">
        <f t="shared" si="44"/>
        <v>0.84177215189873422</v>
      </c>
      <c r="R79">
        <f t="shared" si="53"/>
        <v>104</v>
      </c>
      <c r="S79">
        <f t="shared" si="54"/>
        <v>8</v>
      </c>
      <c r="T79">
        <v>0</v>
      </c>
      <c r="U79">
        <f t="shared" si="55"/>
        <v>79</v>
      </c>
      <c r="V79">
        <f t="shared" si="45"/>
        <v>13</v>
      </c>
      <c r="W79">
        <f t="shared" si="46"/>
        <v>0.96835443037974689</v>
      </c>
      <c r="X79">
        <f t="shared" si="47"/>
        <v>0.96835443037974689</v>
      </c>
      <c r="Y79">
        <f t="shared" si="56"/>
        <v>104</v>
      </c>
      <c r="Z79">
        <f t="shared" si="57"/>
        <v>8</v>
      </c>
      <c r="AA79">
        <f t="shared" si="48"/>
        <v>79</v>
      </c>
      <c r="AB79">
        <f t="shared" si="58"/>
        <v>79</v>
      </c>
      <c r="AC79">
        <f t="shared" si="49"/>
        <v>13</v>
      </c>
      <c r="AD79">
        <f t="shared" si="50"/>
        <v>0.71835443037974689</v>
      </c>
      <c r="AE79">
        <f t="shared" si="51"/>
        <v>0.71835443037974689</v>
      </c>
    </row>
    <row r="80" spans="11:31" x14ac:dyDescent="0.55000000000000004">
      <c r="K80">
        <f t="shared" si="59"/>
        <v>100</v>
      </c>
      <c r="L80">
        <f t="shared" si="52"/>
        <v>8</v>
      </c>
      <c r="M80">
        <f t="shared" si="41"/>
        <v>40</v>
      </c>
      <c r="N80">
        <f t="shared" si="60"/>
        <v>80</v>
      </c>
      <c r="O80">
        <f t="shared" si="42"/>
        <v>0.5</v>
      </c>
      <c r="P80">
        <f t="shared" si="43"/>
        <v>0.84975961538461542</v>
      </c>
      <c r="Q80">
        <f t="shared" si="44"/>
        <v>0.84975961538461542</v>
      </c>
      <c r="R80">
        <f t="shared" si="53"/>
        <v>100</v>
      </c>
      <c r="S80">
        <f t="shared" si="54"/>
        <v>8</v>
      </c>
      <c r="T80">
        <v>0</v>
      </c>
      <c r="U80">
        <f t="shared" si="55"/>
        <v>80</v>
      </c>
      <c r="V80">
        <f t="shared" si="45"/>
        <v>12.5</v>
      </c>
      <c r="W80">
        <f t="shared" si="46"/>
        <v>0.96995192307692313</v>
      </c>
      <c r="X80">
        <f t="shared" si="47"/>
        <v>0.96995192307692313</v>
      </c>
      <c r="Y80">
        <f t="shared" si="56"/>
        <v>100</v>
      </c>
      <c r="Z80">
        <f t="shared" si="57"/>
        <v>8</v>
      </c>
      <c r="AA80">
        <f t="shared" si="48"/>
        <v>80</v>
      </c>
      <c r="AB80">
        <f t="shared" si="58"/>
        <v>80</v>
      </c>
      <c r="AC80">
        <f t="shared" si="49"/>
        <v>12.5</v>
      </c>
      <c r="AD80">
        <f t="shared" si="50"/>
        <v>0.72956730769230771</v>
      </c>
      <c r="AE80">
        <f t="shared" si="51"/>
        <v>0.72956730769230771</v>
      </c>
    </row>
    <row r="81" spans="11:31" x14ac:dyDescent="0.55000000000000004">
      <c r="K81">
        <f t="shared" si="59"/>
        <v>96</v>
      </c>
      <c r="L81">
        <f t="shared" si="52"/>
        <v>8</v>
      </c>
      <c r="M81">
        <f t="shared" si="41"/>
        <v>41</v>
      </c>
      <c r="N81">
        <f t="shared" si="60"/>
        <v>81</v>
      </c>
      <c r="O81">
        <f t="shared" si="42"/>
        <v>0.50617283950617287</v>
      </c>
      <c r="P81">
        <f t="shared" si="43"/>
        <v>0.85470085470085466</v>
      </c>
      <c r="Q81">
        <f t="shared" si="44"/>
        <v>0.85470085470085466</v>
      </c>
      <c r="R81">
        <f t="shared" si="53"/>
        <v>96</v>
      </c>
      <c r="S81">
        <f t="shared" si="54"/>
        <v>8</v>
      </c>
      <c r="T81">
        <v>0</v>
      </c>
      <c r="U81">
        <f t="shared" si="55"/>
        <v>81</v>
      </c>
      <c r="V81">
        <f t="shared" si="45"/>
        <v>12</v>
      </c>
      <c r="W81">
        <f t="shared" si="46"/>
        <v>0.97150997150997154</v>
      </c>
      <c r="X81">
        <f t="shared" si="47"/>
        <v>0.97150997150997154</v>
      </c>
      <c r="Y81">
        <f t="shared" si="56"/>
        <v>96</v>
      </c>
      <c r="Z81">
        <f t="shared" si="57"/>
        <v>8</v>
      </c>
      <c r="AA81">
        <f t="shared" si="48"/>
        <v>81</v>
      </c>
      <c r="AB81">
        <f t="shared" si="58"/>
        <v>81</v>
      </c>
      <c r="AC81">
        <f t="shared" si="49"/>
        <v>12</v>
      </c>
      <c r="AD81">
        <f t="shared" si="50"/>
        <v>0.7407407407407407</v>
      </c>
      <c r="AE81">
        <f t="shared" si="51"/>
        <v>0.7407407407407407</v>
      </c>
    </row>
    <row r="82" spans="11:31" x14ac:dyDescent="0.55000000000000004">
      <c r="K82">
        <f t="shared" si="59"/>
        <v>92</v>
      </c>
      <c r="L82">
        <f t="shared" si="52"/>
        <v>8</v>
      </c>
      <c r="M82">
        <f t="shared" si="41"/>
        <v>41</v>
      </c>
      <c r="N82">
        <f t="shared" si="60"/>
        <v>82</v>
      </c>
      <c r="O82">
        <f t="shared" si="42"/>
        <v>0.5</v>
      </c>
      <c r="P82">
        <f t="shared" si="43"/>
        <v>0.862453095684803</v>
      </c>
      <c r="Q82">
        <f t="shared" si="44"/>
        <v>0.862453095684803</v>
      </c>
      <c r="R82">
        <f t="shared" si="53"/>
        <v>92</v>
      </c>
      <c r="S82">
        <f t="shared" si="54"/>
        <v>8</v>
      </c>
      <c r="T82">
        <v>0</v>
      </c>
      <c r="U82">
        <f t="shared" si="55"/>
        <v>82</v>
      </c>
      <c r="V82">
        <f t="shared" si="45"/>
        <v>11.5</v>
      </c>
      <c r="W82">
        <f t="shared" si="46"/>
        <v>0.97303001876172612</v>
      </c>
      <c r="X82">
        <f t="shared" si="47"/>
        <v>0.97303001876172612</v>
      </c>
      <c r="Y82">
        <f t="shared" si="56"/>
        <v>92</v>
      </c>
      <c r="Z82">
        <f t="shared" si="57"/>
        <v>8</v>
      </c>
      <c r="AA82">
        <f t="shared" si="48"/>
        <v>82</v>
      </c>
      <c r="AB82">
        <f t="shared" si="58"/>
        <v>82</v>
      </c>
      <c r="AC82">
        <f t="shared" si="49"/>
        <v>11.5</v>
      </c>
      <c r="AD82">
        <f t="shared" si="50"/>
        <v>0.75187617260787998</v>
      </c>
      <c r="AE82">
        <f t="shared" si="51"/>
        <v>0.75187617260787998</v>
      </c>
    </row>
    <row r="83" spans="11:31" x14ac:dyDescent="0.55000000000000004">
      <c r="K83">
        <f t="shared" si="59"/>
        <v>88</v>
      </c>
      <c r="L83">
        <f t="shared" si="52"/>
        <v>8</v>
      </c>
      <c r="M83">
        <f t="shared" si="41"/>
        <v>42</v>
      </c>
      <c r="N83">
        <f t="shared" si="60"/>
        <v>83</v>
      </c>
      <c r="O83">
        <f t="shared" si="42"/>
        <v>0.50602409638554213</v>
      </c>
      <c r="P83">
        <f t="shared" si="43"/>
        <v>0.86746987951807231</v>
      </c>
      <c r="Q83">
        <f t="shared" si="44"/>
        <v>0.86746987951807231</v>
      </c>
      <c r="R83">
        <f t="shared" si="53"/>
        <v>88</v>
      </c>
      <c r="S83">
        <f t="shared" si="54"/>
        <v>8</v>
      </c>
      <c r="T83">
        <v>0</v>
      </c>
      <c r="U83">
        <f t="shared" si="55"/>
        <v>83</v>
      </c>
      <c r="V83">
        <f t="shared" si="45"/>
        <v>11</v>
      </c>
      <c r="W83">
        <f t="shared" si="46"/>
        <v>0.97451343836886006</v>
      </c>
      <c r="X83">
        <f t="shared" si="47"/>
        <v>0.97451343836886006</v>
      </c>
      <c r="Y83">
        <f t="shared" si="56"/>
        <v>88</v>
      </c>
      <c r="Z83">
        <f t="shared" si="57"/>
        <v>8</v>
      </c>
      <c r="AA83">
        <f t="shared" si="48"/>
        <v>83</v>
      </c>
      <c r="AB83">
        <f t="shared" si="58"/>
        <v>83</v>
      </c>
      <c r="AC83">
        <f t="shared" si="49"/>
        <v>11</v>
      </c>
      <c r="AD83">
        <f t="shared" si="50"/>
        <v>0.7629749768303985</v>
      </c>
      <c r="AE83">
        <f t="shared" si="51"/>
        <v>0.7629749768303985</v>
      </c>
    </row>
    <row r="84" spans="11:31" x14ac:dyDescent="0.55000000000000004">
      <c r="K84">
        <f t="shared" si="59"/>
        <v>84</v>
      </c>
      <c r="L84">
        <f t="shared" si="52"/>
        <v>8</v>
      </c>
      <c r="M84">
        <f t="shared" si="41"/>
        <v>42</v>
      </c>
      <c r="N84">
        <f t="shared" si="60"/>
        <v>84</v>
      </c>
      <c r="O84">
        <f t="shared" si="42"/>
        <v>0.5</v>
      </c>
      <c r="P84">
        <f t="shared" si="43"/>
        <v>0.875</v>
      </c>
      <c r="Q84">
        <f t="shared" si="44"/>
        <v>0.875</v>
      </c>
      <c r="R84">
        <f t="shared" si="53"/>
        <v>84</v>
      </c>
      <c r="S84">
        <f t="shared" si="54"/>
        <v>8</v>
      </c>
      <c r="T84">
        <v>0</v>
      </c>
      <c r="U84">
        <f t="shared" si="55"/>
        <v>84</v>
      </c>
      <c r="V84">
        <f t="shared" si="45"/>
        <v>10.5</v>
      </c>
      <c r="W84">
        <f t="shared" si="46"/>
        <v>0.97596153846153844</v>
      </c>
      <c r="X84">
        <f t="shared" si="47"/>
        <v>0.97596153846153844</v>
      </c>
      <c r="Y84">
        <f t="shared" si="56"/>
        <v>84</v>
      </c>
      <c r="Z84">
        <f t="shared" si="57"/>
        <v>8</v>
      </c>
      <c r="AA84">
        <f t="shared" si="48"/>
        <v>84</v>
      </c>
      <c r="AB84">
        <f t="shared" si="58"/>
        <v>84</v>
      </c>
      <c r="AC84">
        <f t="shared" si="49"/>
        <v>10.5</v>
      </c>
      <c r="AD84">
        <f t="shared" si="50"/>
        <v>0.77403846153846156</v>
      </c>
      <c r="AE84">
        <f t="shared" si="51"/>
        <v>0.77403846153846156</v>
      </c>
    </row>
    <row r="85" spans="11:31" x14ac:dyDescent="0.55000000000000004">
      <c r="K85">
        <f t="shared" si="59"/>
        <v>80</v>
      </c>
      <c r="L85">
        <f t="shared" si="52"/>
        <v>8</v>
      </c>
      <c r="M85">
        <f t="shared" si="41"/>
        <v>43</v>
      </c>
      <c r="N85">
        <f t="shared" si="60"/>
        <v>85</v>
      </c>
      <c r="O85">
        <f t="shared" si="42"/>
        <v>0.50588235294117645</v>
      </c>
      <c r="P85">
        <f t="shared" si="43"/>
        <v>0.88009049773755654</v>
      </c>
      <c r="Q85">
        <f t="shared" si="44"/>
        <v>0.88009049773755654</v>
      </c>
      <c r="R85">
        <f t="shared" si="53"/>
        <v>80</v>
      </c>
      <c r="S85">
        <f t="shared" si="54"/>
        <v>8</v>
      </c>
      <c r="T85">
        <v>0</v>
      </c>
      <c r="U85">
        <f t="shared" si="55"/>
        <v>85</v>
      </c>
      <c r="V85">
        <f t="shared" si="45"/>
        <v>10</v>
      </c>
      <c r="W85">
        <f t="shared" si="46"/>
        <v>0.9773755656108597</v>
      </c>
      <c r="X85">
        <f t="shared" si="47"/>
        <v>0.9773755656108597</v>
      </c>
      <c r="Y85">
        <f t="shared" si="56"/>
        <v>80</v>
      </c>
      <c r="Z85">
        <f t="shared" si="57"/>
        <v>8</v>
      </c>
      <c r="AA85">
        <f t="shared" si="48"/>
        <v>85</v>
      </c>
      <c r="AB85">
        <f t="shared" si="58"/>
        <v>85</v>
      </c>
      <c r="AC85">
        <f t="shared" si="49"/>
        <v>10</v>
      </c>
      <c r="AD85">
        <f t="shared" si="50"/>
        <v>0.78506787330316741</v>
      </c>
      <c r="AE85">
        <f t="shared" si="51"/>
        <v>0.78506787330316741</v>
      </c>
    </row>
    <row r="86" spans="11:31" x14ac:dyDescent="0.55000000000000004">
      <c r="K86">
        <f t="shared" si="59"/>
        <v>76</v>
      </c>
      <c r="L86">
        <f t="shared" si="52"/>
        <v>8</v>
      </c>
      <c r="M86">
        <f t="shared" si="41"/>
        <v>43</v>
      </c>
      <c r="N86">
        <f t="shared" si="60"/>
        <v>86</v>
      </c>
      <c r="O86">
        <f t="shared" si="42"/>
        <v>0.5</v>
      </c>
      <c r="P86">
        <f t="shared" si="43"/>
        <v>0.88741055456171736</v>
      </c>
      <c r="Q86">
        <f t="shared" si="44"/>
        <v>0.88741055456171736</v>
      </c>
      <c r="R86">
        <f t="shared" si="53"/>
        <v>76</v>
      </c>
      <c r="S86">
        <f t="shared" si="54"/>
        <v>8</v>
      </c>
      <c r="T86">
        <v>0</v>
      </c>
      <c r="U86">
        <f t="shared" si="55"/>
        <v>86</v>
      </c>
      <c r="V86">
        <f t="shared" si="45"/>
        <v>9.5</v>
      </c>
      <c r="W86">
        <f t="shared" si="46"/>
        <v>0.97875670840787121</v>
      </c>
      <c r="X86">
        <f t="shared" si="47"/>
        <v>0.97875670840787121</v>
      </c>
      <c r="Y86">
        <f t="shared" si="56"/>
        <v>76</v>
      </c>
      <c r="Z86">
        <f t="shared" si="57"/>
        <v>8</v>
      </c>
      <c r="AA86">
        <f t="shared" si="48"/>
        <v>86</v>
      </c>
      <c r="AB86">
        <f t="shared" si="58"/>
        <v>86</v>
      </c>
      <c r="AC86">
        <f t="shared" si="49"/>
        <v>9.5</v>
      </c>
      <c r="AD86">
        <f t="shared" si="50"/>
        <v>0.7960644007155635</v>
      </c>
      <c r="AE86">
        <f t="shared" si="51"/>
        <v>0.7960644007155635</v>
      </c>
    </row>
    <row r="87" spans="11:31" x14ac:dyDescent="0.55000000000000004">
      <c r="K87">
        <f t="shared" si="59"/>
        <v>72</v>
      </c>
      <c r="L87">
        <f t="shared" si="52"/>
        <v>8</v>
      </c>
      <c r="M87">
        <f t="shared" si="41"/>
        <v>44</v>
      </c>
      <c r="N87">
        <f t="shared" si="60"/>
        <v>87</v>
      </c>
      <c r="O87">
        <f t="shared" si="42"/>
        <v>0.50574712643678166</v>
      </c>
      <c r="P87">
        <f t="shared" si="43"/>
        <v>0.89257294429708223</v>
      </c>
      <c r="Q87">
        <f t="shared" si="44"/>
        <v>0.89257294429708223</v>
      </c>
      <c r="R87">
        <f t="shared" si="53"/>
        <v>72</v>
      </c>
      <c r="S87">
        <f t="shared" si="54"/>
        <v>8</v>
      </c>
      <c r="T87">
        <v>0</v>
      </c>
      <c r="U87">
        <f t="shared" si="55"/>
        <v>87</v>
      </c>
      <c r="V87">
        <f t="shared" si="45"/>
        <v>9</v>
      </c>
      <c r="W87">
        <f t="shared" si="46"/>
        <v>0.980106100795756</v>
      </c>
      <c r="X87">
        <f t="shared" si="47"/>
        <v>0.980106100795756</v>
      </c>
      <c r="Y87">
        <f t="shared" si="56"/>
        <v>72</v>
      </c>
      <c r="Z87">
        <f t="shared" si="57"/>
        <v>8</v>
      </c>
      <c r="AA87">
        <f t="shared" si="48"/>
        <v>87</v>
      </c>
      <c r="AB87">
        <f t="shared" si="58"/>
        <v>87</v>
      </c>
      <c r="AC87">
        <f t="shared" si="49"/>
        <v>9</v>
      </c>
      <c r="AD87">
        <f t="shared" si="50"/>
        <v>0.80702917771883287</v>
      </c>
      <c r="AE87">
        <f t="shared" si="51"/>
        <v>0.80702917771883287</v>
      </c>
    </row>
    <row r="88" spans="11:31" x14ac:dyDescent="0.55000000000000004">
      <c r="K88">
        <f t="shared" si="59"/>
        <v>68</v>
      </c>
      <c r="L88">
        <f t="shared" si="52"/>
        <v>8</v>
      </c>
      <c r="M88">
        <f t="shared" si="41"/>
        <v>44</v>
      </c>
      <c r="N88">
        <f t="shared" si="60"/>
        <v>88</v>
      </c>
      <c r="O88">
        <f t="shared" si="42"/>
        <v>0.5</v>
      </c>
      <c r="P88">
        <f t="shared" si="43"/>
        <v>0.89969405594405594</v>
      </c>
      <c r="Q88">
        <f t="shared" si="44"/>
        <v>0.89969405594405594</v>
      </c>
      <c r="R88">
        <f t="shared" si="53"/>
        <v>68</v>
      </c>
      <c r="S88">
        <f t="shared" si="54"/>
        <v>8</v>
      </c>
      <c r="T88">
        <v>0</v>
      </c>
      <c r="U88">
        <f t="shared" si="55"/>
        <v>88</v>
      </c>
      <c r="V88">
        <f t="shared" si="45"/>
        <v>8.5</v>
      </c>
      <c r="W88">
        <f t="shared" si="46"/>
        <v>0.98142482517482521</v>
      </c>
      <c r="X88">
        <f t="shared" si="47"/>
        <v>0.98142482517482521</v>
      </c>
      <c r="Y88">
        <f t="shared" si="56"/>
        <v>68</v>
      </c>
      <c r="Z88">
        <f t="shared" si="57"/>
        <v>8</v>
      </c>
      <c r="AA88">
        <f t="shared" si="48"/>
        <v>88</v>
      </c>
      <c r="AB88">
        <f t="shared" si="58"/>
        <v>88</v>
      </c>
      <c r="AC88">
        <f t="shared" si="49"/>
        <v>8.5</v>
      </c>
      <c r="AD88">
        <f t="shared" si="50"/>
        <v>0.81796328671328666</v>
      </c>
      <c r="AE88">
        <f t="shared" si="51"/>
        <v>0.81796328671328666</v>
      </c>
    </row>
    <row r="89" spans="11:31" x14ac:dyDescent="0.55000000000000004">
      <c r="K89">
        <f t="shared" si="59"/>
        <v>64</v>
      </c>
      <c r="L89">
        <f t="shared" si="52"/>
        <v>8</v>
      </c>
      <c r="M89">
        <f t="shared" si="41"/>
        <v>45</v>
      </c>
      <c r="N89">
        <f t="shared" si="60"/>
        <v>89</v>
      </c>
      <c r="O89">
        <f t="shared" si="42"/>
        <v>0.5056179775280899</v>
      </c>
      <c r="P89">
        <f t="shared" si="43"/>
        <v>0.90492653414001734</v>
      </c>
      <c r="Q89">
        <f t="shared" si="44"/>
        <v>0.90492653414001734</v>
      </c>
      <c r="R89">
        <f t="shared" si="53"/>
        <v>64</v>
      </c>
      <c r="S89">
        <f t="shared" si="54"/>
        <v>8</v>
      </c>
      <c r="T89">
        <v>0</v>
      </c>
      <c r="U89">
        <f t="shared" si="55"/>
        <v>89</v>
      </c>
      <c r="V89">
        <f t="shared" si="45"/>
        <v>8</v>
      </c>
      <c r="W89">
        <f t="shared" si="46"/>
        <v>0.98271391529818497</v>
      </c>
      <c r="X89">
        <f t="shared" si="47"/>
        <v>0.98271391529818497</v>
      </c>
      <c r="Y89">
        <f t="shared" si="56"/>
        <v>64</v>
      </c>
      <c r="Z89">
        <f t="shared" si="57"/>
        <v>8</v>
      </c>
      <c r="AA89">
        <f t="shared" si="48"/>
        <v>89</v>
      </c>
      <c r="AB89">
        <f t="shared" si="58"/>
        <v>89</v>
      </c>
      <c r="AC89">
        <f t="shared" si="49"/>
        <v>8</v>
      </c>
      <c r="AD89">
        <f t="shared" si="50"/>
        <v>0.82886776145203112</v>
      </c>
      <c r="AE89">
        <f t="shared" si="51"/>
        <v>0.82886776145203112</v>
      </c>
    </row>
    <row r="90" spans="11:31" x14ac:dyDescent="0.55000000000000004">
      <c r="K90">
        <f t="shared" si="59"/>
        <v>60</v>
      </c>
      <c r="L90">
        <f t="shared" si="52"/>
        <v>8</v>
      </c>
      <c r="M90">
        <f t="shared" si="41"/>
        <v>45</v>
      </c>
      <c r="N90">
        <f t="shared" si="60"/>
        <v>90</v>
      </c>
      <c r="O90">
        <f t="shared" si="42"/>
        <v>0.5</v>
      </c>
      <c r="P90">
        <f t="shared" si="43"/>
        <v>0.91185897435897434</v>
      </c>
      <c r="Q90">
        <f t="shared" si="44"/>
        <v>0.91185897435897434</v>
      </c>
      <c r="R90">
        <f t="shared" si="53"/>
        <v>60</v>
      </c>
      <c r="S90">
        <f t="shared" si="54"/>
        <v>8</v>
      </c>
      <c r="T90">
        <v>0</v>
      </c>
      <c r="U90">
        <f t="shared" si="55"/>
        <v>90</v>
      </c>
      <c r="V90">
        <f t="shared" si="45"/>
        <v>7.5</v>
      </c>
      <c r="W90">
        <f t="shared" si="46"/>
        <v>0.98397435897435903</v>
      </c>
      <c r="X90">
        <f t="shared" si="47"/>
        <v>0.98397435897435903</v>
      </c>
      <c r="Y90">
        <f t="shared" si="56"/>
        <v>60</v>
      </c>
      <c r="Z90">
        <f t="shared" si="57"/>
        <v>8</v>
      </c>
      <c r="AA90">
        <f t="shared" si="48"/>
        <v>90</v>
      </c>
      <c r="AB90">
        <f t="shared" si="58"/>
        <v>90</v>
      </c>
      <c r="AC90">
        <f t="shared" si="49"/>
        <v>7.5</v>
      </c>
      <c r="AD90">
        <f t="shared" si="50"/>
        <v>0.83974358974358976</v>
      </c>
      <c r="AE90">
        <f t="shared" si="51"/>
        <v>0.83974358974358976</v>
      </c>
    </row>
    <row r="91" spans="11:31" x14ac:dyDescent="0.55000000000000004">
      <c r="K91">
        <f t="shared" si="59"/>
        <v>56</v>
      </c>
      <c r="L91">
        <f t="shared" si="52"/>
        <v>8</v>
      </c>
      <c r="M91">
        <f t="shared" si="41"/>
        <v>46</v>
      </c>
      <c r="N91">
        <f t="shared" si="60"/>
        <v>91</v>
      </c>
      <c r="O91">
        <f t="shared" si="42"/>
        <v>0.50549450549450547</v>
      </c>
      <c r="P91">
        <f t="shared" si="43"/>
        <v>0.91715976331360949</v>
      </c>
      <c r="Q91">
        <f t="shared" si="44"/>
        <v>0.91715976331360949</v>
      </c>
      <c r="R91">
        <f t="shared" si="53"/>
        <v>56</v>
      </c>
      <c r="S91">
        <f t="shared" si="54"/>
        <v>8</v>
      </c>
      <c r="T91">
        <v>0</v>
      </c>
      <c r="U91">
        <f t="shared" si="55"/>
        <v>91</v>
      </c>
      <c r="V91">
        <f t="shared" si="45"/>
        <v>7</v>
      </c>
      <c r="W91">
        <f t="shared" si="46"/>
        <v>0.98520710059171601</v>
      </c>
      <c r="X91">
        <f t="shared" si="47"/>
        <v>0.98520710059171601</v>
      </c>
      <c r="Y91">
        <f t="shared" si="56"/>
        <v>56</v>
      </c>
      <c r="Z91">
        <f t="shared" si="57"/>
        <v>8</v>
      </c>
      <c r="AA91">
        <f t="shared" si="48"/>
        <v>91</v>
      </c>
      <c r="AB91">
        <f t="shared" si="58"/>
        <v>91</v>
      </c>
      <c r="AC91">
        <f t="shared" si="49"/>
        <v>7</v>
      </c>
      <c r="AD91">
        <f t="shared" si="50"/>
        <v>0.85059171597633132</v>
      </c>
      <c r="AE91">
        <f t="shared" si="51"/>
        <v>0.85059171597633132</v>
      </c>
    </row>
    <row r="92" spans="11:31" x14ac:dyDescent="0.55000000000000004">
      <c r="K92">
        <f t="shared" si="59"/>
        <v>52</v>
      </c>
      <c r="L92">
        <f t="shared" si="52"/>
        <v>8</v>
      </c>
      <c r="M92">
        <f t="shared" si="41"/>
        <v>46</v>
      </c>
      <c r="N92">
        <f t="shared" si="60"/>
        <v>92</v>
      </c>
      <c r="O92">
        <f t="shared" si="42"/>
        <v>0.5</v>
      </c>
      <c r="P92">
        <f t="shared" si="43"/>
        <v>0.92391304347826086</v>
      </c>
      <c r="Q92">
        <f t="shared" si="44"/>
        <v>0.92391304347826086</v>
      </c>
      <c r="R92">
        <f t="shared" si="53"/>
        <v>52</v>
      </c>
      <c r="S92">
        <f t="shared" si="54"/>
        <v>8</v>
      </c>
      <c r="T92">
        <v>0</v>
      </c>
      <c r="U92">
        <f t="shared" si="55"/>
        <v>92</v>
      </c>
      <c r="V92">
        <f t="shared" si="45"/>
        <v>6.5</v>
      </c>
      <c r="W92">
        <f t="shared" si="46"/>
        <v>0.98641304347826086</v>
      </c>
      <c r="X92">
        <f t="shared" si="47"/>
        <v>0.98641304347826086</v>
      </c>
      <c r="Y92">
        <f t="shared" si="56"/>
        <v>52</v>
      </c>
      <c r="Z92">
        <f t="shared" si="57"/>
        <v>8</v>
      </c>
      <c r="AA92">
        <f t="shared" si="48"/>
        <v>92</v>
      </c>
      <c r="AB92">
        <f t="shared" si="58"/>
        <v>92</v>
      </c>
      <c r="AC92">
        <f t="shared" si="49"/>
        <v>6.5</v>
      </c>
      <c r="AD92">
        <f t="shared" si="50"/>
        <v>0.86141304347826086</v>
      </c>
      <c r="AE92">
        <f t="shared" si="51"/>
        <v>0.86141304347826086</v>
      </c>
    </row>
    <row r="93" spans="11:31" x14ac:dyDescent="0.55000000000000004">
      <c r="K93">
        <f t="shared" si="59"/>
        <v>48</v>
      </c>
      <c r="L93">
        <f t="shared" si="52"/>
        <v>8</v>
      </c>
      <c r="M93">
        <f t="shared" si="41"/>
        <v>47</v>
      </c>
      <c r="N93">
        <f t="shared" si="60"/>
        <v>93</v>
      </c>
      <c r="O93">
        <f t="shared" si="42"/>
        <v>0.5053763440860215</v>
      </c>
      <c r="P93">
        <f t="shared" si="43"/>
        <v>0.92928039702233245</v>
      </c>
      <c r="Q93">
        <f t="shared" si="44"/>
        <v>0.92928039702233245</v>
      </c>
      <c r="R93">
        <f t="shared" si="53"/>
        <v>48</v>
      </c>
      <c r="S93">
        <f t="shared" si="54"/>
        <v>8</v>
      </c>
      <c r="T93">
        <v>0</v>
      </c>
      <c r="U93">
        <f t="shared" si="55"/>
        <v>93</v>
      </c>
      <c r="V93">
        <f t="shared" si="45"/>
        <v>6</v>
      </c>
      <c r="W93">
        <f t="shared" si="46"/>
        <v>0.98759305210918114</v>
      </c>
      <c r="X93">
        <f t="shared" si="47"/>
        <v>0.98759305210918114</v>
      </c>
      <c r="Y93">
        <f t="shared" si="56"/>
        <v>48</v>
      </c>
      <c r="Z93">
        <f t="shared" si="57"/>
        <v>8</v>
      </c>
      <c r="AA93">
        <f t="shared" si="48"/>
        <v>93</v>
      </c>
      <c r="AB93">
        <f t="shared" si="58"/>
        <v>93</v>
      </c>
      <c r="AC93">
        <f t="shared" si="49"/>
        <v>6</v>
      </c>
      <c r="AD93">
        <f t="shared" si="50"/>
        <v>0.87220843672456572</v>
      </c>
      <c r="AE93">
        <f t="shared" si="51"/>
        <v>0.87220843672456572</v>
      </c>
    </row>
    <row r="94" spans="11:31" x14ac:dyDescent="0.55000000000000004">
      <c r="K94">
        <f t="shared" si="59"/>
        <v>44</v>
      </c>
      <c r="L94">
        <f t="shared" si="52"/>
        <v>8</v>
      </c>
      <c r="M94">
        <f t="shared" si="41"/>
        <v>47</v>
      </c>
      <c r="N94">
        <f t="shared" si="60"/>
        <v>94</v>
      </c>
      <c r="O94">
        <f t="shared" si="42"/>
        <v>0.5</v>
      </c>
      <c r="P94">
        <f t="shared" si="43"/>
        <v>0.93586333878887074</v>
      </c>
      <c r="Q94">
        <f t="shared" si="44"/>
        <v>0.93586333878887074</v>
      </c>
      <c r="R94">
        <f t="shared" si="53"/>
        <v>44</v>
      </c>
      <c r="S94">
        <f t="shared" si="54"/>
        <v>8</v>
      </c>
      <c r="T94">
        <v>0</v>
      </c>
      <c r="U94">
        <f t="shared" si="55"/>
        <v>94</v>
      </c>
      <c r="V94">
        <f t="shared" si="45"/>
        <v>5.5</v>
      </c>
      <c r="W94">
        <f t="shared" si="46"/>
        <v>0.98874795417348604</v>
      </c>
      <c r="X94">
        <f t="shared" si="47"/>
        <v>0.98874795417348604</v>
      </c>
      <c r="Y94">
        <f t="shared" si="56"/>
        <v>44</v>
      </c>
      <c r="Z94">
        <f t="shared" si="57"/>
        <v>8</v>
      </c>
      <c r="AA94">
        <f t="shared" si="48"/>
        <v>94</v>
      </c>
      <c r="AB94">
        <f t="shared" si="58"/>
        <v>94</v>
      </c>
      <c r="AC94">
        <f t="shared" si="49"/>
        <v>5.5</v>
      </c>
      <c r="AD94">
        <f t="shared" si="50"/>
        <v>0.88297872340425532</v>
      </c>
      <c r="AE94">
        <f t="shared" si="51"/>
        <v>0.88297872340425532</v>
      </c>
    </row>
    <row r="95" spans="11:31" x14ac:dyDescent="0.55000000000000004">
      <c r="K95">
        <f t="shared" si="59"/>
        <v>40</v>
      </c>
      <c r="L95">
        <f t="shared" si="52"/>
        <v>8</v>
      </c>
      <c r="M95">
        <f t="shared" si="41"/>
        <v>48</v>
      </c>
      <c r="N95">
        <f t="shared" si="60"/>
        <v>95</v>
      </c>
      <c r="O95">
        <f t="shared" si="42"/>
        <v>0.50526315789473686</v>
      </c>
      <c r="P95">
        <f t="shared" si="43"/>
        <v>0.9412955465587044</v>
      </c>
      <c r="Q95">
        <f t="shared" si="44"/>
        <v>0.9412955465587044</v>
      </c>
      <c r="R95">
        <f t="shared" si="53"/>
        <v>40</v>
      </c>
      <c r="S95">
        <f t="shared" si="54"/>
        <v>8</v>
      </c>
      <c r="T95">
        <v>0</v>
      </c>
      <c r="U95">
        <f t="shared" si="55"/>
        <v>95</v>
      </c>
      <c r="V95">
        <f t="shared" si="45"/>
        <v>5</v>
      </c>
      <c r="W95">
        <f t="shared" si="46"/>
        <v>0.98987854251012142</v>
      </c>
      <c r="X95">
        <f t="shared" si="47"/>
        <v>0.98987854251012142</v>
      </c>
      <c r="Y95">
        <f t="shared" si="56"/>
        <v>40</v>
      </c>
      <c r="Z95">
        <f t="shared" si="57"/>
        <v>8</v>
      </c>
      <c r="AA95">
        <f t="shared" si="48"/>
        <v>95</v>
      </c>
      <c r="AB95">
        <f t="shared" si="58"/>
        <v>95</v>
      </c>
      <c r="AC95">
        <f t="shared" si="49"/>
        <v>5</v>
      </c>
      <c r="AD95">
        <f t="shared" si="50"/>
        <v>0.89372469635627527</v>
      </c>
      <c r="AE95">
        <f t="shared" si="51"/>
        <v>0.89372469635627527</v>
      </c>
    </row>
    <row r="96" spans="11:31" x14ac:dyDescent="0.55000000000000004">
      <c r="K96">
        <f t="shared" si="59"/>
        <v>36</v>
      </c>
      <c r="L96">
        <f t="shared" si="52"/>
        <v>8</v>
      </c>
      <c r="M96">
        <f t="shared" si="41"/>
        <v>48</v>
      </c>
      <c r="N96">
        <f t="shared" si="60"/>
        <v>96</v>
      </c>
      <c r="O96">
        <f t="shared" si="42"/>
        <v>0.5</v>
      </c>
      <c r="P96">
        <f t="shared" si="43"/>
        <v>0.94771634615384615</v>
      </c>
      <c r="Q96">
        <f t="shared" si="44"/>
        <v>0.94771634615384615</v>
      </c>
      <c r="R96">
        <f t="shared" si="53"/>
        <v>36</v>
      </c>
      <c r="S96">
        <f t="shared" si="54"/>
        <v>8</v>
      </c>
      <c r="T96">
        <v>0</v>
      </c>
      <c r="U96">
        <f t="shared" si="55"/>
        <v>96</v>
      </c>
      <c r="V96">
        <f t="shared" si="45"/>
        <v>4.5</v>
      </c>
      <c r="W96">
        <f t="shared" si="46"/>
        <v>0.99098557692307687</v>
      </c>
      <c r="X96">
        <f t="shared" si="47"/>
        <v>0.99098557692307687</v>
      </c>
      <c r="Y96">
        <f t="shared" si="56"/>
        <v>36</v>
      </c>
      <c r="Z96">
        <f t="shared" si="57"/>
        <v>8</v>
      </c>
      <c r="AA96">
        <f t="shared" si="48"/>
        <v>96</v>
      </c>
      <c r="AB96">
        <f t="shared" si="58"/>
        <v>96</v>
      </c>
      <c r="AC96">
        <f t="shared" si="49"/>
        <v>4.5</v>
      </c>
      <c r="AD96">
        <f t="shared" si="50"/>
        <v>0.90444711538461542</v>
      </c>
      <c r="AE96">
        <f t="shared" si="51"/>
        <v>0.90444711538461542</v>
      </c>
    </row>
    <row r="97" spans="11:31" x14ac:dyDescent="0.55000000000000004">
      <c r="K97">
        <f t="shared" si="59"/>
        <v>32</v>
      </c>
      <c r="L97">
        <f t="shared" si="52"/>
        <v>8</v>
      </c>
      <c r="M97">
        <f t="shared" si="41"/>
        <v>49</v>
      </c>
      <c r="N97">
        <f t="shared" si="60"/>
        <v>97</v>
      </c>
      <c r="O97">
        <f t="shared" si="42"/>
        <v>0.50515463917525771</v>
      </c>
      <c r="P97">
        <f t="shared" si="43"/>
        <v>0.9532117367168913</v>
      </c>
      <c r="Q97">
        <f t="shared" si="44"/>
        <v>0.9532117367168913</v>
      </c>
      <c r="R97">
        <f t="shared" si="53"/>
        <v>32</v>
      </c>
      <c r="S97">
        <f t="shared" si="54"/>
        <v>8</v>
      </c>
      <c r="T97">
        <v>0</v>
      </c>
      <c r="U97">
        <f t="shared" si="55"/>
        <v>97</v>
      </c>
      <c r="V97">
        <f t="shared" si="45"/>
        <v>4</v>
      </c>
      <c r="W97">
        <f t="shared" si="46"/>
        <v>0.9920697858842189</v>
      </c>
      <c r="X97">
        <f t="shared" si="47"/>
        <v>0.9920697858842189</v>
      </c>
      <c r="Y97">
        <f t="shared" si="56"/>
        <v>32</v>
      </c>
      <c r="Z97">
        <f t="shared" si="57"/>
        <v>8</v>
      </c>
      <c r="AA97">
        <f t="shared" si="48"/>
        <v>97</v>
      </c>
      <c r="AB97">
        <f t="shared" si="58"/>
        <v>97</v>
      </c>
      <c r="AC97">
        <f t="shared" si="49"/>
        <v>4</v>
      </c>
      <c r="AD97">
        <f t="shared" si="50"/>
        <v>0.91514670896114192</v>
      </c>
      <c r="AE97">
        <f t="shared" si="51"/>
        <v>0.91514670896114192</v>
      </c>
    </row>
    <row r="98" spans="11:31" x14ac:dyDescent="0.55000000000000004">
      <c r="K98">
        <f t="shared" si="59"/>
        <v>28</v>
      </c>
      <c r="L98">
        <f t="shared" si="52"/>
        <v>8</v>
      </c>
      <c r="M98">
        <f t="shared" si="41"/>
        <v>49</v>
      </c>
      <c r="N98">
        <f t="shared" si="60"/>
        <v>98</v>
      </c>
      <c r="O98">
        <f t="shared" si="42"/>
        <v>0.5</v>
      </c>
      <c r="P98">
        <f t="shared" si="43"/>
        <v>0.95947802197802201</v>
      </c>
      <c r="Q98">
        <f t="shared" si="44"/>
        <v>0.95947802197802201</v>
      </c>
      <c r="R98">
        <f t="shared" si="53"/>
        <v>28</v>
      </c>
      <c r="S98">
        <f t="shared" si="54"/>
        <v>8</v>
      </c>
      <c r="T98">
        <v>0</v>
      </c>
      <c r="U98">
        <f t="shared" si="55"/>
        <v>98</v>
      </c>
      <c r="V98">
        <f t="shared" si="45"/>
        <v>3.5</v>
      </c>
      <c r="W98">
        <f t="shared" si="46"/>
        <v>0.99313186813186816</v>
      </c>
      <c r="X98">
        <f t="shared" si="47"/>
        <v>0.99313186813186816</v>
      </c>
      <c r="Y98">
        <f t="shared" si="56"/>
        <v>28</v>
      </c>
      <c r="Z98">
        <f t="shared" si="57"/>
        <v>8</v>
      </c>
      <c r="AA98">
        <f t="shared" si="48"/>
        <v>98</v>
      </c>
      <c r="AB98">
        <f t="shared" si="58"/>
        <v>98</v>
      </c>
      <c r="AC98">
        <f t="shared" si="49"/>
        <v>3.5</v>
      </c>
      <c r="AD98">
        <f t="shared" si="50"/>
        <v>0.92582417582417587</v>
      </c>
      <c r="AE98">
        <f t="shared" si="51"/>
        <v>0.92582417582417587</v>
      </c>
    </row>
    <row r="99" spans="11:31" x14ac:dyDescent="0.55000000000000004">
      <c r="K99">
        <f t="shared" si="59"/>
        <v>24</v>
      </c>
      <c r="L99">
        <f t="shared" si="52"/>
        <v>8</v>
      </c>
      <c r="M99">
        <f t="shared" si="41"/>
        <v>50</v>
      </c>
      <c r="N99">
        <f t="shared" si="60"/>
        <v>99</v>
      </c>
      <c r="O99">
        <f t="shared" si="42"/>
        <v>0.50505050505050508</v>
      </c>
      <c r="P99">
        <f t="shared" si="43"/>
        <v>0.965034965034965</v>
      </c>
      <c r="Q99">
        <f t="shared" si="44"/>
        <v>0.965034965034965</v>
      </c>
      <c r="R99">
        <f t="shared" si="53"/>
        <v>24</v>
      </c>
      <c r="S99">
        <f t="shared" si="54"/>
        <v>8</v>
      </c>
      <c r="T99">
        <v>0</v>
      </c>
      <c r="U99">
        <f t="shared" si="55"/>
        <v>99</v>
      </c>
      <c r="V99">
        <f t="shared" si="45"/>
        <v>3</v>
      </c>
      <c r="W99">
        <f t="shared" si="46"/>
        <v>0.9941724941724942</v>
      </c>
      <c r="X99">
        <f t="shared" si="47"/>
        <v>0.9941724941724942</v>
      </c>
      <c r="Y99">
        <f t="shared" si="56"/>
        <v>24</v>
      </c>
      <c r="Z99">
        <f t="shared" si="57"/>
        <v>8</v>
      </c>
      <c r="AA99">
        <f t="shared" si="48"/>
        <v>99</v>
      </c>
      <c r="AB99">
        <f t="shared" si="58"/>
        <v>99</v>
      </c>
      <c r="AC99">
        <f t="shared" si="49"/>
        <v>3</v>
      </c>
      <c r="AD99">
        <f t="shared" si="50"/>
        <v>0.93648018648018649</v>
      </c>
      <c r="AE99">
        <f t="shared" si="51"/>
        <v>0.93648018648018649</v>
      </c>
    </row>
    <row r="100" spans="11:31" x14ac:dyDescent="0.55000000000000004">
      <c r="K100">
        <f t="shared" si="59"/>
        <v>20</v>
      </c>
      <c r="L100">
        <f t="shared" si="52"/>
        <v>8</v>
      </c>
      <c r="M100">
        <f t="shared" si="41"/>
        <v>50</v>
      </c>
      <c r="N100">
        <f t="shared" si="60"/>
        <v>100</v>
      </c>
      <c r="O100">
        <f t="shared" si="42"/>
        <v>0.5</v>
      </c>
      <c r="P100">
        <f t="shared" si="43"/>
        <v>0.97115384615384615</v>
      </c>
      <c r="Q100">
        <f t="shared" si="44"/>
        <v>0.97115384615384615</v>
      </c>
      <c r="R100">
        <f t="shared" si="53"/>
        <v>20</v>
      </c>
      <c r="S100">
        <f t="shared" si="54"/>
        <v>8</v>
      </c>
      <c r="T100">
        <v>0</v>
      </c>
      <c r="U100">
        <f t="shared" si="55"/>
        <v>100</v>
      </c>
      <c r="V100">
        <f t="shared" si="45"/>
        <v>2.5</v>
      </c>
      <c r="W100">
        <f t="shared" si="46"/>
        <v>0.99519230769230771</v>
      </c>
      <c r="X100">
        <f t="shared" si="47"/>
        <v>0.99519230769230771</v>
      </c>
      <c r="Y100">
        <f t="shared" si="56"/>
        <v>20</v>
      </c>
      <c r="Z100">
        <f t="shared" si="57"/>
        <v>8</v>
      </c>
      <c r="AA100">
        <f t="shared" si="48"/>
        <v>100</v>
      </c>
      <c r="AB100">
        <f t="shared" si="58"/>
        <v>100</v>
      </c>
      <c r="AC100">
        <f t="shared" si="49"/>
        <v>2.5</v>
      </c>
      <c r="AD100">
        <f t="shared" si="50"/>
        <v>0.94711538461538458</v>
      </c>
      <c r="AE100">
        <f t="shared" si="51"/>
        <v>0.94711538461538458</v>
      </c>
    </row>
    <row r="101" spans="11:31" x14ac:dyDescent="0.55000000000000004">
      <c r="K101">
        <f t="shared" si="59"/>
        <v>16</v>
      </c>
      <c r="L101">
        <f t="shared" si="52"/>
        <v>8</v>
      </c>
      <c r="M101">
        <f t="shared" si="41"/>
        <v>51</v>
      </c>
      <c r="N101">
        <f t="shared" si="60"/>
        <v>101</v>
      </c>
      <c r="O101">
        <f t="shared" si="42"/>
        <v>0.50495049504950495</v>
      </c>
      <c r="P101">
        <f t="shared" si="43"/>
        <v>0.97677075399847679</v>
      </c>
      <c r="Q101">
        <f t="shared" si="44"/>
        <v>0.97677075399847679</v>
      </c>
      <c r="R101">
        <f t="shared" si="53"/>
        <v>16</v>
      </c>
      <c r="S101">
        <f t="shared" si="54"/>
        <v>8</v>
      </c>
      <c r="T101">
        <v>0</v>
      </c>
      <c r="U101">
        <f t="shared" si="55"/>
        <v>101</v>
      </c>
      <c r="V101">
        <f t="shared" si="45"/>
        <v>2</v>
      </c>
      <c r="W101">
        <f t="shared" si="46"/>
        <v>0.99619192688499614</v>
      </c>
      <c r="X101">
        <f t="shared" si="47"/>
        <v>0.99619192688499614</v>
      </c>
      <c r="Y101">
        <f t="shared" si="56"/>
        <v>16</v>
      </c>
      <c r="Z101">
        <f t="shared" si="57"/>
        <v>8</v>
      </c>
      <c r="AA101">
        <f t="shared" si="48"/>
        <v>101</v>
      </c>
      <c r="AB101">
        <f t="shared" si="58"/>
        <v>101</v>
      </c>
      <c r="AC101">
        <f t="shared" si="49"/>
        <v>2</v>
      </c>
      <c r="AD101">
        <f t="shared" si="50"/>
        <v>0.9577303884234577</v>
      </c>
      <c r="AE101">
        <f t="shared" si="51"/>
        <v>0.9577303884234577</v>
      </c>
    </row>
    <row r="102" spans="11:31" x14ac:dyDescent="0.55000000000000004">
      <c r="K102">
        <f t="shared" si="59"/>
        <v>12</v>
      </c>
      <c r="L102">
        <f t="shared" si="52"/>
        <v>8</v>
      </c>
      <c r="M102">
        <f t="shared" si="41"/>
        <v>51</v>
      </c>
      <c r="N102">
        <f t="shared" si="60"/>
        <v>102</v>
      </c>
      <c r="O102">
        <f t="shared" si="42"/>
        <v>0.5</v>
      </c>
      <c r="P102">
        <f t="shared" si="43"/>
        <v>0.98274886877828049</v>
      </c>
      <c r="Q102">
        <f t="shared" si="44"/>
        <v>0.98274886877828049</v>
      </c>
      <c r="R102">
        <f t="shared" si="53"/>
        <v>12</v>
      </c>
      <c r="S102">
        <f t="shared" si="54"/>
        <v>8</v>
      </c>
      <c r="T102">
        <v>0</v>
      </c>
      <c r="U102">
        <f t="shared" si="55"/>
        <v>102</v>
      </c>
      <c r="V102">
        <f t="shared" si="45"/>
        <v>1.5</v>
      </c>
      <c r="W102">
        <f t="shared" si="46"/>
        <v>0.99717194570135748</v>
      </c>
      <c r="X102">
        <f t="shared" si="47"/>
        <v>0.99717194570135748</v>
      </c>
      <c r="Y102">
        <f t="shared" si="56"/>
        <v>12</v>
      </c>
      <c r="Z102">
        <f t="shared" si="57"/>
        <v>8</v>
      </c>
      <c r="AA102">
        <f t="shared" si="48"/>
        <v>102</v>
      </c>
      <c r="AB102">
        <f t="shared" si="58"/>
        <v>102</v>
      </c>
      <c r="AC102">
        <f t="shared" si="49"/>
        <v>1.5</v>
      </c>
      <c r="AD102">
        <f t="shared" si="50"/>
        <v>0.96832579185520362</v>
      </c>
      <c r="AE102">
        <f t="shared" si="51"/>
        <v>0.96832579185520362</v>
      </c>
    </row>
    <row r="103" spans="11:31" x14ac:dyDescent="0.55000000000000004">
      <c r="K103">
        <f t="shared" si="59"/>
        <v>8</v>
      </c>
      <c r="L103">
        <f t="shared" si="52"/>
        <v>8</v>
      </c>
      <c r="M103">
        <f t="shared" si="41"/>
        <v>52</v>
      </c>
      <c r="N103">
        <f t="shared" si="60"/>
        <v>103</v>
      </c>
      <c r="O103">
        <f t="shared" si="42"/>
        <v>0.50485436893203883</v>
      </c>
      <c r="P103">
        <f t="shared" si="43"/>
        <v>0.9884241971620612</v>
      </c>
      <c r="Q103">
        <f t="shared" si="44"/>
        <v>0.9884241971620612</v>
      </c>
      <c r="R103">
        <f t="shared" si="53"/>
        <v>8</v>
      </c>
      <c r="S103">
        <f t="shared" si="54"/>
        <v>8</v>
      </c>
      <c r="T103">
        <v>0</v>
      </c>
      <c r="U103">
        <f t="shared" si="55"/>
        <v>103</v>
      </c>
      <c r="V103">
        <f t="shared" si="45"/>
        <v>1</v>
      </c>
      <c r="W103">
        <f t="shared" si="46"/>
        <v>0.99813293502613887</v>
      </c>
      <c r="X103">
        <f t="shared" si="47"/>
        <v>0.99813293502613887</v>
      </c>
      <c r="Y103">
        <f t="shared" si="56"/>
        <v>8</v>
      </c>
      <c r="Z103">
        <f t="shared" si="57"/>
        <v>8</v>
      </c>
      <c r="AA103">
        <f t="shared" si="48"/>
        <v>103</v>
      </c>
      <c r="AB103">
        <f t="shared" si="58"/>
        <v>103</v>
      </c>
      <c r="AC103">
        <f t="shared" si="49"/>
        <v>1</v>
      </c>
      <c r="AD103">
        <f t="shared" si="50"/>
        <v>0.97890216579536971</v>
      </c>
      <c r="AE103">
        <f t="shared" si="51"/>
        <v>0.97890216579536971</v>
      </c>
    </row>
    <row r="104" spans="11:31" x14ac:dyDescent="0.55000000000000004">
      <c r="K104">
        <f t="shared" si="59"/>
        <v>4</v>
      </c>
      <c r="L104">
        <f t="shared" si="52"/>
        <v>8</v>
      </c>
      <c r="M104">
        <f t="shared" si="41"/>
        <v>52</v>
      </c>
      <c r="N104">
        <f t="shared" si="60"/>
        <v>104</v>
      </c>
      <c r="O104">
        <f t="shared" si="42"/>
        <v>0.5</v>
      </c>
      <c r="P104">
        <f t="shared" si="43"/>
        <v>0.99426775147928992</v>
      </c>
      <c r="Q104">
        <f t="shared" si="44"/>
        <v>0.99426775147928992</v>
      </c>
      <c r="R104">
        <f t="shared" si="53"/>
        <v>4</v>
      </c>
      <c r="S104">
        <f t="shared" si="54"/>
        <v>8</v>
      </c>
      <c r="T104">
        <v>0</v>
      </c>
      <c r="U104">
        <f t="shared" si="55"/>
        <v>104</v>
      </c>
      <c r="V104">
        <f t="shared" si="45"/>
        <v>0.5</v>
      </c>
      <c r="W104">
        <f t="shared" si="46"/>
        <v>0.99907544378698221</v>
      </c>
      <c r="X104">
        <f t="shared" si="47"/>
        <v>0.99907544378698221</v>
      </c>
      <c r="Y104">
        <f t="shared" si="56"/>
        <v>4</v>
      </c>
      <c r="Z104">
        <f t="shared" si="57"/>
        <v>8</v>
      </c>
      <c r="AA104">
        <f t="shared" si="48"/>
        <v>104</v>
      </c>
      <c r="AB104">
        <f t="shared" si="58"/>
        <v>104</v>
      </c>
      <c r="AC104">
        <f t="shared" si="49"/>
        <v>0.5</v>
      </c>
      <c r="AD104">
        <f t="shared" si="50"/>
        <v>0.98946005917159763</v>
      </c>
      <c r="AE104">
        <f t="shared" si="51"/>
        <v>0.98946005917159763</v>
      </c>
    </row>
    <row r="105" spans="11:31" x14ac:dyDescent="0.55000000000000004">
      <c r="K105">
        <f t="shared" si="59"/>
        <v>0</v>
      </c>
      <c r="L105">
        <f t="shared" si="52"/>
        <v>8</v>
      </c>
      <c r="M105">
        <f t="shared" si="41"/>
        <v>53</v>
      </c>
      <c r="N105">
        <f t="shared" si="60"/>
        <v>105</v>
      </c>
      <c r="O105">
        <f t="shared" si="42"/>
        <v>0.50476190476190474</v>
      </c>
      <c r="P105">
        <f t="shared" si="43"/>
        <v>1</v>
      </c>
      <c r="Q105">
        <f t="shared" si="44"/>
        <v>1</v>
      </c>
      <c r="R105">
        <f t="shared" si="53"/>
        <v>0</v>
      </c>
      <c r="S105">
        <f t="shared" si="54"/>
        <v>8</v>
      </c>
      <c r="T105">
        <v>0</v>
      </c>
      <c r="U105">
        <f t="shared" si="55"/>
        <v>105</v>
      </c>
      <c r="V105">
        <f t="shared" si="45"/>
        <v>0</v>
      </c>
      <c r="W105">
        <f t="shared" si="46"/>
        <v>1</v>
      </c>
      <c r="X105">
        <f t="shared" si="47"/>
        <v>1</v>
      </c>
      <c r="Y105">
        <f t="shared" si="56"/>
        <v>0</v>
      </c>
      <c r="Z105">
        <f t="shared" si="57"/>
        <v>8</v>
      </c>
      <c r="AA105">
        <f t="shared" si="48"/>
        <v>105</v>
      </c>
      <c r="AB105">
        <f t="shared" si="58"/>
        <v>105</v>
      </c>
      <c r="AC105">
        <f t="shared" si="49"/>
        <v>0</v>
      </c>
      <c r="AD105">
        <f t="shared" si="50"/>
        <v>1</v>
      </c>
      <c r="AE105">
        <f t="shared" si="51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Game</vt:lpstr>
      <vt:lpstr>Flowchart</vt:lpstr>
      <vt:lpstr>Algorithm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Jansen Lei</dc:creator>
  <cp:lastModifiedBy>idklololmg123</cp:lastModifiedBy>
  <dcterms:created xsi:type="dcterms:W3CDTF">2017-05-25T18:21:47Z</dcterms:created>
  <dcterms:modified xsi:type="dcterms:W3CDTF">2017-06-08T23:02:33Z</dcterms:modified>
  <cp:contentStatus/>
</cp:coreProperties>
</file>